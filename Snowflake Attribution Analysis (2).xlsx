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icho\Downloads\"/>
    </mc:Choice>
  </mc:AlternateContent>
  <xr:revisionPtr revIDLastSave="0" documentId="13_ncr:1_{B4AE76C5-B00A-441E-95D9-9735AEF16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8" i="1" l="1"/>
  <c r="M117" i="1"/>
  <c r="M116" i="1"/>
  <c r="M115" i="1"/>
  <c r="M112" i="1"/>
  <c r="M111" i="1"/>
  <c r="M110" i="1"/>
  <c r="M109" i="1"/>
  <c r="M108" i="1"/>
  <c r="M107" i="1"/>
  <c r="M104" i="1"/>
  <c r="M103" i="1"/>
  <c r="M102" i="1"/>
  <c r="M101" i="1"/>
  <c r="M100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79" i="1"/>
  <c r="M78" i="1"/>
  <c r="M77" i="1"/>
  <c r="M76" i="1"/>
  <c r="M75" i="1"/>
  <c r="M74" i="1"/>
  <c r="M73" i="1"/>
  <c r="M72" i="1"/>
  <c r="M71" i="1"/>
  <c r="M68" i="1"/>
  <c r="M67" i="1"/>
  <c r="M66" i="1"/>
  <c r="M65" i="1"/>
  <c r="M64" i="1"/>
  <c r="M63" i="1"/>
  <c r="M62" i="1"/>
  <c r="M59" i="1"/>
  <c r="M58" i="1"/>
  <c r="M57" i="1"/>
  <c r="M56" i="1"/>
  <c r="M55" i="1"/>
  <c r="M54" i="1"/>
  <c r="M53" i="1"/>
  <c r="M52" i="1"/>
  <c r="M51" i="1"/>
  <c r="M48" i="1"/>
  <c r="M47" i="1"/>
  <c r="M46" i="1"/>
  <c r="M45" i="1"/>
  <c r="M44" i="1"/>
  <c r="M43" i="1"/>
  <c r="M42" i="1"/>
  <c r="M41" i="1"/>
  <c r="M40" i="1"/>
  <c r="M39" i="1"/>
  <c r="M38" i="1"/>
  <c r="M35" i="1"/>
  <c r="M34" i="1"/>
  <c r="M33" i="1"/>
  <c r="M32" i="1"/>
  <c r="M31" i="1"/>
  <c r="M30" i="1"/>
  <c r="M29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9" i="1"/>
  <c r="M8" i="1"/>
  <c r="M7" i="1"/>
  <c r="M6" i="1"/>
  <c r="M5" i="1"/>
  <c r="M4" i="1"/>
  <c r="M3" i="1"/>
</calcChain>
</file>

<file path=xl/sharedStrings.xml><?xml version="1.0" encoding="utf-8"?>
<sst xmlns="http://schemas.openxmlformats.org/spreadsheetml/2006/main" count="420" uniqueCount="215">
  <si>
    <t>Energy</t>
  </si>
  <si>
    <t>Ticker</t>
  </si>
  <si>
    <t>Exchange</t>
  </si>
  <si>
    <t>Sector</t>
  </si>
  <si>
    <t>Overall</t>
  </si>
  <si>
    <t>DIVIDEND</t>
  </si>
  <si>
    <t>FUTURE</t>
  </si>
  <si>
    <t>HEALTH</t>
  </si>
  <si>
    <t>PAST</t>
  </si>
  <si>
    <t>VALUE</t>
  </si>
  <si>
    <t>Volatility 1 year</t>
  </si>
  <si>
    <t>Expected Return</t>
  </si>
  <si>
    <t>Sharpe Ratio</t>
  </si>
  <si>
    <t>MarketCap_AUD</t>
  </si>
  <si>
    <t>Current Price</t>
  </si>
  <si>
    <t>Target Analyst</t>
  </si>
  <si>
    <t>ALD</t>
  </si>
  <si>
    <t>ASX</t>
  </si>
  <si>
    <t>Oil and Gas industry</t>
  </si>
  <si>
    <t>7B</t>
  </si>
  <si>
    <t>STO</t>
  </si>
  <si>
    <t>23B</t>
  </si>
  <si>
    <t>NHC</t>
  </si>
  <si>
    <t>4B</t>
  </si>
  <si>
    <t>WHC</t>
  </si>
  <si>
    <t>5B</t>
  </si>
  <si>
    <t>MND</t>
  </si>
  <si>
    <t xml:space="preserve"> Construction industry</t>
  </si>
  <si>
    <t>1B</t>
  </si>
  <si>
    <t>VEA</t>
  </si>
  <si>
    <t>WDS</t>
  </si>
  <si>
    <t>49B</t>
  </si>
  <si>
    <t>Real Estate</t>
  </si>
  <si>
    <t>CWP</t>
  </si>
  <si>
    <t>Real Estate industry</t>
  </si>
  <si>
    <t>436M</t>
  </si>
  <si>
    <t>VCX</t>
  </si>
  <si>
    <t>Retail REITs industry</t>
  </si>
  <si>
    <t>10B</t>
  </si>
  <si>
    <t>CNI</t>
  </si>
  <si>
    <t>REITs industry</t>
  </si>
  <si>
    <t>2B</t>
  </si>
  <si>
    <t>CHC</t>
  </si>
  <si>
    <t>INA</t>
  </si>
  <si>
    <t>Residential REITs industry</t>
  </si>
  <si>
    <t>NSR</t>
  </si>
  <si>
    <t>Specialized REITs industry</t>
  </si>
  <si>
    <t>3B</t>
  </si>
  <si>
    <t>MGR</t>
  </si>
  <si>
    <t>8B</t>
  </si>
  <si>
    <t>SGP</t>
  </si>
  <si>
    <t>12B</t>
  </si>
  <si>
    <t>APZ</t>
  </si>
  <si>
    <t>REITs industry .</t>
  </si>
  <si>
    <t>488M</t>
  </si>
  <si>
    <t>RFF</t>
  </si>
  <si>
    <t>649M</t>
  </si>
  <si>
    <t>HPI</t>
  </si>
  <si>
    <t>Hotel and Resort REITs industry</t>
  </si>
  <si>
    <t>738M</t>
  </si>
  <si>
    <t>DXI</t>
  </si>
  <si>
    <t>Industrial REITs industry</t>
  </si>
  <si>
    <t>860M</t>
  </si>
  <si>
    <t>BWP</t>
  </si>
  <si>
    <t>CQR</t>
  </si>
  <si>
    <t>WPR</t>
  </si>
  <si>
    <t>9B</t>
  </si>
  <si>
    <t>Materials</t>
  </si>
  <si>
    <t>FMG</t>
  </si>
  <si>
    <t>Metals and Mining industry</t>
  </si>
  <si>
    <t>59B</t>
  </si>
  <si>
    <t>WGX</t>
  </si>
  <si>
    <t>CIA</t>
  </si>
  <si>
    <t>NIC</t>
  </si>
  <si>
    <t>PRN</t>
  </si>
  <si>
    <t>BRI</t>
  </si>
  <si>
    <t>Forestry industry average</t>
  </si>
  <si>
    <t>108M</t>
  </si>
  <si>
    <t>ORI</t>
  </si>
  <si>
    <t>Chemicals industry</t>
  </si>
  <si>
    <t>6B</t>
  </si>
  <si>
    <t>16B</t>
  </si>
  <si>
    <t>Industrials</t>
  </si>
  <si>
    <t>SIQ</t>
  </si>
  <si>
    <t>Professional Services industry</t>
  </si>
  <si>
    <t>MXI</t>
  </si>
  <si>
    <t>Machinery industry</t>
  </si>
  <si>
    <t>106M</t>
  </si>
  <si>
    <t>VEE</t>
  </si>
  <si>
    <t>132M</t>
  </si>
  <si>
    <t>SXE</t>
  </si>
  <si>
    <t>Construction industry</t>
  </si>
  <si>
    <t>375M</t>
  </si>
  <si>
    <t>WOR</t>
  </si>
  <si>
    <t>LAU</t>
  </si>
  <si>
    <t>Transportation industry</t>
  </si>
  <si>
    <t>277M</t>
  </si>
  <si>
    <t>BXB</t>
  </si>
  <si>
    <t>Commercial Services industry</t>
  </si>
  <si>
    <t>26B</t>
  </si>
  <si>
    <t>SSM</t>
  </si>
  <si>
    <t>928M</t>
  </si>
  <si>
    <t>VNT</t>
  </si>
  <si>
    <t>MMS</t>
  </si>
  <si>
    <t>NWH</t>
  </si>
  <si>
    <t>Consumer Discretionary</t>
  </si>
  <si>
    <t>JIN</t>
  </si>
  <si>
    <t>Hospitality industry</t>
  </si>
  <si>
    <t>775M</t>
  </si>
  <si>
    <t>CKF</t>
  </si>
  <si>
    <t>846M</t>
  </si>
  <si>
    <t>NCK</t>
  </si>
  <si>
    <t>Specialty Retail industry</t>
  </si>
  <si>
    <t>FLT</t>
  </si>
  <si>
    <t>HLO</t>
  </si>
  <si>
    <t>332M</t>
  </si>
  <si>
    <t>SUL</t>
  </si>
  <si>
    <t>AOV</t>
  </si>
  <si>
    <t>Auto Components industry</t>
  </si>
  <si>
    <t>FWD</t>
  </si>
  <si>
    <t>Consumer Durables industry</t>
  </si>
  <si>
    <t>183M</t>
  </si>
  <si>
    <t>GEM</t>
  </si>
  <si>
    <t>Consumer Services industry</t>
  </si>
  <si>
    <t>Consumer Staples</t>
  </si>
  <si>
    <t>ING</t>
  </si>
  <si>
    <t>Food industry</t>
  </si>
  <si>
    <t>RIC</t>
  </si>
  <si>
    <t>859M</t>
  </si>
  <si>
    <t>SGLLV</t>
  </si>
  <si>
    <t>710M</t>
  </si>
  <si>
    <t>CBO</t>
  </si>
  <si>
    <t>TWE</t>
  </si>
  <si>
    <t>Beverage industry</t>
  </si>
  <si>
    <t>BGA</t>
  </si>
  <si>
    <t>ELD</t>
  </si>
  <si>
    <t>Healthcare</t>
  </si>
  <si>
    <t>CUV</t>
  </si>
  <si>
    <t>Biotechs industry</t>
  </si>
  <si>
    <t>593M</t>
  </si>
  <si>
    <t>CSL</t>
  </si>
  <si>
    <t>133B</t>
  </si>
  <si>
    <t>PSQ</t>
  </si>
  <si>
    <t>Healthcare industry</t>
  </si>
  <si>
    <t>315M</t>
  </si>
  <si>
    <t>SHL</t>
  </si>
  <si>
    <t>13B</t>
  </si>
  <si>
    <t>EBO</t>
  </si>
  <si>
    <t>ACL</t>
  </si>
  <si>
    <t>675M</t>
  </si>
  <si>
    <t>SNZ</t>
  </si>
  <si>
    <t>ANN</t>
  </si>
  <si>
    <t>Medical Equipment industry</t>
  </si>
  <si>
    <t>AFP</t>
  </si>
  <si>
    <t>Pharmaceuticals industry</t>
  </si>
  <si>
    <t>299M</t>
  </si>
  <si>
    <t>Financials</t>
  </si>
  <si>
    <t>TWR</t>
  </si>
  <si>
    <t>Insurance industry</t>
  </si>
  <si>
    <t>482M</t>
  </si>
  <si>
    <t>NHF</t>
  </si>
  <si>
    <t>QBE</t>
  </si>
  <si>
    <t>30B</t>
  </si>
  <si>
    <t>NGI</t>
  </si>
  <si>
    <t>Capital Markets industry</t>
  </si>
  <si>
    <t>809M</t>
  </si>
  <si>
    <t>MFG</t>
  </si>
  <si>
    <t>QAL</t>
  </si>
  <si>
    <t>788M</t>
  </si>
  <si>
    <t>COG</t>
  </si>
  <si>
    <t>193M</t>
  </si>
  <si>
    <t>NWL</t>
  </si>
  <si>
    <t>HLI</t>
  </si>
  <si>
    <t>Diversified Financial industry</t>
  </si>
  <si>
    <t>SUN</t>
  </si>
  <si>
    <t>25B</t>
  </si>
  <si>
    <t>AUB</t>
  </si>
  <si>
    <t>EQT</t>
  </si>
  <si>
    <t>883M</t>
  </si>
  <si>
    <t>HMC</t>
  </si>
  <si>
    <t>PNI</t>
  </si>
  <si>
    <t>CGF</t>
  </si>
  <si>
    <t>SDF</t>
  </si>
  <si>
    <t>Tech</t>
  </si>
  <si>
    <t>DTL</t>
  </si>
  <si>
    <t>IT industry</t>
  </si>
  <si>
    <t>IFM</t>
  </si>
  <si>
    <t>Software industry</t>
  </si>
  <si>
    <t>519M</t>
  </si>
  <si>
    <t>CDA</t>
  </si>
  <si>
    <t>Electronic industry</t>
  </si>
  <si>
    <t>COS</t>
  </si>
  <si>
    <t>167M</t>
  </si>
  <si>
    <t>DDR</t>
  </si>
  <si>
    <t>Telecom</t>
  </si>
  <si>
    <t>SKT</t>
  </si>
  <si>
    <t>Media industry</t>
  </si>
  <si>
    <t>391M</t>
  </si>
  <si>
    <t>SPK</t>
  </si>
  <si>
    <t>Telecom industry</t>
  </si>
  <si>
    <t>DHG</t>
  </si>
  <si>
    <t>Interactive Media and Services industry</t>
  </si>
  <si>
    <t>EGG</t>
  </si>
  <si>
    <t>95M</t>
  </si>
  <si>
    <t>NEC</t>
  </si>
  <si>
    <t>TPG</t>
  </si>
  <si>
    <t>Utilities</t>
  </si>
  <si>
    <t>APA</t>
  </si>
  <si>
    <t>Gas Utilities industry.</t>
  </si>
  <si>
    <t>MEZ</t>
  </si>
  <si>
    <t>Renewable Energy industry</t>
  </si>
  <si>
    <t>AGL</t>
  </si>
  <si>
    <t>Integrated Utilities industry</t>
  </si>
  <si>
    <t>LGI</t>
  </si>
  <si>
    <t>258M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</si>
</sst>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0"/>
  <sheetViews>
    <sheetView tabSelected="1" workbookViewId="0">
      <selection sqref="A1:XFD1048576"/>
    </sheetView>
  </sheetViews>
  <sheetFormatPr defaultRowHeight="15" x14ac:dyDescent="0.25"/>
  <cols>
    <col min="1" max="1" width="12.7109375" customWidth="1"/>
    <col min="2" max="2" width="9.42578125" customWidth="1"/>
    <col min="3" max="3" width="27.7109375" customWidth="1"/>
    <col min="4" max="4" width="9.140625" customWidth="1"/>
    <col min="5" max="5" width="11.42578125" customWidth="1"/>
    <col min="6" max="6" width="7.42578125" customWidth="1"/>
    <col min="7" max="7" width="9.140625" customWidth="1"/>
    <col min="8" max="8" width="6.42578125" customWidth="1"/>
    <col min="9" max="9" width="8" customWidth="1"/>
    <col min="10" max="10" width="3.28515625" customWidth="1"/>
  </cols>
  <sheetData>
    <row r="1" spans="1:20" x14ac:dyDescent="0.25">
      <c r="A1" s="1" t="s">
        <v>0</v>
      </c>
    </row>
    <row r="2" spans="1:2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/>
      <c r="R2" s="1"/>
      <c r="S2" s="1"/>
      <c r="T2" s="1"/>
    </row>
    <row r="3" spans="1:20" x14ac:dyDescent="0.25">
      <c r="A3" t="s">
        <v>16</v>
      </c>
      <c r="B3" t="s">
        <v>17</v>
      </c>
      <c r="C3" t="s">
        <v>18</v>
      </c>
      <c r="D3" s="2">
        <v>3.3333333333333335</v>
      </c>
      <c r="E3" s="2">
        <v>0.66666666666666663</v>
      </c>
      <c r="F3" s="2">
        <v>0.16666666666666666</v>
      </c>
      <c r="G3" s="2">
        <v>0.66666666666666663</v>
      </c>
      <c r="H3" s="2">
        <v>1</v>
      </c>
      <c r="I3" s="2">
        <v>0.83333333333333337</v>
      </c>
      <c r="J3" s="2"/>
      <c r="K3" s="3">
        <v>0.03</v>
      </c>
      <c r="L3" s="3">
        <v>0.10882749326145542</v>
      </c>
      <c r="M3" s="4">
        <f>(L3-4%)/K3</f>
        <v>2.2942497753818478</v>
      </c>
      <c r="N3" t="s">
        <v>19</v>
      </c>
      <c r="O3">
        <v>29.68</v>
      </c>
      <c r="P3">
        <v>32.909999999999997</v>
      </c>
      <c r="R3" s="2"/>
      <c r="S3" s="2"/>
      <c r="T3" s="2"/>
    </row>
    <row r="4" spans="1:20" x14ac:dyDescent="0.25">
      <c r="A4" t="s">
        <v>20</v>
      </c>
      <c r="B4" t="s">
        <v>17</v>
      </c>
      <c r="C4" t="s">
        <v>18</v>
      </c>
      <c r="D4" s="2">
        <v>2.8333333333333335</v>
      </c>
      <c r="E4" s="2">
        <v>0.66666666666666663</v>
      </c>
      <c r="F4" s="2">
        <v>0.33333333333333331</v>
      </c>
      <c r="G4" s="2">
        <v>0.83333333333333337</v>
      </c>
      <c r="H4" s="2">
        <v>0.33333333333333331</v>
      </c>
      <c r="I4" s="2">
        <v>0.66666666666666663</v>
      </c>
      <c r="J4" s="2"/>
      <c r="K4" s="3">
        <v>0.02</v>
      </c>
      <c r="L4" s="3">
        <v>0.11310344827586211</v>
      </c>
      <c r="M4" s="4">
        <f t="shared" ref="M4:M35" si="0">(L4-4%)/K4</f>
        <v>3.655172413793105</v>
      </c>
      <c r="N4" t="s">
        <v>21</v>
      </c>
      <c r="O4">
        <v>7.25</v>
      </c>
      <c r="P4">
        <v>8.07</v>
      </c>
      <c r="R4" s="2"/>
      <c r="S4" s="2"/>
      <c r="T4" s="2"/>
    </row>
    <row r="5" spans="1:20" x14ac:dyDescent="0.25">
      <c r="A5" t="s">
        <v>22</v>
      </c>
      <c r="B5" t="s">
        <v>17</v>
      </c>
      <c r="C5" t="s">
        <v>18</v>
      </c>
      <c r="D5" s="2">
        <v>2.833333333333333</v>
      </c>
      <c r="E5" s="2">
        <v>0.66666666666666663</v>
      </c>
      <c r="F5" s="2">
        <v>0</v>
      </c>
      <c r="G5" s="2">
        <v>1</v>
      </c>
      <c r="H5" s="2">
        <v>0.33333333333333331</v>
      </c>
      <c r="I5" s="2">
        <v>0.83333333333333337</v>
      </c>
      <c r="J5" s="2"/>
      <c r="K5" s="3">
        <v>0.03</v>
      </c>
      <c r="L5" s="3">
        <v>7.50507099391481E-2</v>
      </c>
      <c r="M5" s="4">
        <f t="shared" si="0"/>
        <v>1.1683569979716033</v>
      </c>
      <c r="N5" t="s">
        <v>23</v>
      </c>
      <c r="O5">
        <v>4.93</v>
      </c>
      <c r="P5">
        <v>5.3</v>
      </c>
      <c r="R5" s="2"/>
      <c r="S5" s="2"/>
      <c r="T5" s="2"/>
    </row>
    <row r="6" spans="1:20" x14ac:dyDescent="0.25">
      <c r="A6" t="s">
        <v>24</v>
      </c>
      <c r="B6" t="s">
        <v>17</v>
      </c>
      <c r="C6" t="s">
        <v>18</v>
      </c>
      <c r="D6" s="2">
        <v>2.3333333333333335</v>
      </c>
      <c r="E6" s="2">
        <v>0.33333333333333331</v>
      </c>
      <c r="F6" s="2">
        <v>0.66666666666666663</v>
      </c>
      <c r="G6" s="2">
        <v>0.5</v>
      </c>
      <c r="H6" s="2">
        <v>0.16666666666666666</v>
      </c>
      <c r="I6" s="2">
        <v>0.66666666666666663</v>
      </c>
      <c r="J6" s="2"/>
      <c r="K6" s="3">
        <v>0.04</v>
      </c>
      <c r="L6" s="3">
        <v>0.41587301587301589</v>
      </c>
      <c r="M6" s="4">
        <f t="shared" si="0"/>
        <v>9.3968253968253972</v>
      </c>
      <c r="N6" t="s">
        <v>25</v>
      </c>
      <c r="O6">
        <v>6.3</v>
      </c>
      <c r="P6">
        <v>8.92</v>
      </c>
      <c r="R6" s="2"/>
      <c r="S6" s="2"/>
      <c r="T6" s="2"/>
    </row>
    <row r="7" spans="1:20" x14ac:dyDescent="0.25">
      <c r="A7" t="s">
        <v>26</v>
      </c>
      <c r="B7" t="s">
        <v>17</v>
      </c>
      <c r="C7" t="s">
        <v>27</v>
      </c>
      <c r="D7" s="2">
        <v>2.166666666666667</v>
      </c>
      <c r="E7" s="2">
        <v>0.33333333333333331</v>
      </c>
      <c r="F7" s="2">
        <v>0.16666666666666666</v>
      </c>
      <c r="G7" s="2">
        <v>0.83333333333333337</v>
      </c>
      <c r="H7" s="2">
        <v>0.5</v>
      </c>
      <c r="I7" s="2">
        <v>0.33333333333333331</v>
      </c>
      <c r="J7" s="2"/>
      <c r="K7" s="3">
        <v>0.03</v>
      </c>
      <c r="L7" s="3">
        <v>-9.1292134831461227E-3</v>
      </c>
      <c r="M7" s="4">
        <f t="shared" si="0"/>
        <v>-1.6376404494382042</v>
      </c>
      <c r="N7" t="s">
        <v>28</v>
      </c>
      <c r="O7">
        <v>14.24</v>
      </c>
      <c r="P7">
        <v>14.11</v>
      </c>
      <c r="R7" s="2"/>
      <c r="S7" s="2"/>
      <c r="T7" s="2"/>
    </row>
    <row r="8" spans="1:20" x14ac:dyDescent="0.25">
      <c r="A8" t="s">
        <v>29</v>
      </c>
      <c r="B8" t="s">
        <v>17</v>
      </c>
      <c r="C8" t="s">
        <v>18</v>
      </c>
      <c r="D8" s="2">
        <v>2</v>
      </c>
      <c r="E8" s="2">
        <v>0.33333333333333331</v>
      </c>
      <c r="F8" s="2">
        <v>0.66666666666666663</v>
      </c>
      <c r="G8" s="2">
        <v>0.33333333333333331</v>
      </c>
      <c r="H8" s="2">
        <v>0.16666666666666666</v>
      </c>
      <c r="I8" s="2">
        <v>0.5</v>
      </c>
      <c r="J8" s="2"/>
      <c r="K8" s="3">
        <v>0.04</v>
      </c>
      <c r="L8" s="3">
        <v>0.28776978417266197</v>
      </c>
      <c r="M8" s="4">
        <f t="shared" si="0"/>
        <v>6.1942446043165491</v>
      </c>
      <c r="N8" t="s">
        <v>23</v>
      </c>
      <c r="O8">
        <v>2.78</v>
      </c>
      <c r="P8">
        <v>3.58</v>
      </c>
      <c r="R8" s="2"/>
      <c r="S8" s="2"/>
      <c r="T8" s="2"/>
    </row>
    <row r="9" spans="1:20" x14ac:dyDescent="0.25">
      <c r="A9" t="s">
        <v>30</v>
      </c>
      <c r="B9" t="s">
        <v>17</v>
      </c>
      <c r="C9" t="s">
        <v>18</v>
      </c>
      <c r="D9" s="2">
        <v>1.8333333333333333</v>
      </c>
      <c r="E9" s="2">
        <v>0.33333333333333331</v>
      </c>
      <c r="F9" s="2">
        <v>0</v>
      </c>
      <c r="G9" s="2">
        <v>0.83333333333333337</v>
      </c>
      <c r="H9" s="2">
        <v>0.33333333333333331</v>
      </c>
      <c r="I9" s="2">
        <v>0.33333333333333331</v>
      </c>
      <c r="J9" s="2"/>
      <c r="K9" s="3">
        <v>0.03</v>
      </c>
      <c r="L9" s="3">
        <v>0.12466019417475731</v>
      </c>
      <c r="M9" s="4">
        <f t="shared" si="0"/>
        <v>2.8220064724919105</v>
      </c>
      <c r="N9" t="s">
        <v>31</v>
      </c>
      <c r="O9">
        <v>25.75</v>
      </c>
      <c r="P9">
        <v>28.96</v>
      </c>
      <c r="R9" s="2"/>
      <c r="S9" s="2"/>
      <c r="T9" s="2"/>
    </row>
    <row r="10" spans="1:20" x14ac:dyDescent="0.25">
      <c r="D10" s="2"/>
      <c r="E10" s="2"/>
      <c r="F10" s="2"/>
      <c r="G10" s="2"/>
      <c r="H10" s="2"/>
      <c r="I10" s="2"/>
      <c r="J10" s="2"/>
      <c r="K10" s="3"/>
      <c r="L10" s="3"/>
      <c r="M10" s="4"/>
      <c r="R10" s="2"/>
      <c r="S10" s="2"/>
      <c r="T10" s="2"/>
    </row>
    <row r="11" spans="1:20" x14ac:dyDescent="0.25">
      <c r="A11" s="1" t="s">
        <v>32</v>
      </c>
      <c r="D11" s="1" t="s">
        <v>4</v>
      </c>
      <c r="E11" s="2"/>
      <c r="F11" s="2"/>
      <c r="G11" s="2"/>
      <c r="H11" s="2"/>
      <c r="I11" s="2"/>
      <c r="J11" s="2"/>
      <c r="K11" s="3"/>
      <c r="L11" s="3"/>
      <c r="M11" s="4"/>
      <c r="R11" s="2"/>
      <c r="S11" s="2"/>
      <c r="T11" s="2"/>
    </row>
    <row r="12" spans="1:20" x14ac:dyDescent="0.25">
      <c r="A12" t="s">
        <v>33</v>
      </c>
      <c r="B12" t="s">
        <v>17</v>
      </c>
      <c r="C12" t="s">
        <v>34</v>
      </c>
      <c r="D12" s="2">
        <v>2.9999999999999996</v>
      </c>
      <c r="E12" s="2">
        <v>0.5</v>
      </c>
      <c r="F12" s="2">
        <v>0.33333333333333331</v>
      </c>
      <c r="G12" s="2">
        <v>1</v>
      </c>
      <c r="H12" s="2">
        <v>0.5</v>
      </c>
      <c r="I12" s="2">
        <v>0.66666666666666663</v>
      </c>
      <c r="J12" s="2"/>
      <c r="K12" s="3">
        <v>0.04</v>
      </c>
      <c r="L12" s="3">
        <v>0.24574669187145554</v>
      </c>
      <c r="M12" s="4">
        <f t="shared" si="0"/>
        <v>5.1436672967863881</v>
      </c>
      <c r="N12" t="s">
        <v>35</v>
      </c>
      <c r="O12">
        <v>5.29</v>
      </c>
      <c r="P12">
        <v>6.59</v>
      </c>
      <c r="R12" s="2"/>
      <c r="S12" s="2"/>
      <c r="T12" s="2"/>
    </row>
    <row r="13" spans="1:20" x14ac:dyDescent="0.25">
      <c r="A13" t="s">
        <v>36</v>
      </c>
      <c r="B13" t="s">
        <v>17</v>
      </c>
      <c r="C13" t="s">
        <v>37</v>
      </c>
      <c r="D13" s="2">
        <v>2.8333333333333335</v>
      </c>
      <c r="E13" s="2">
        <v>0.5</v>
      </c>
      <c r="F13" s="2">
        <v>0.16666666666666666</v>
      </c>
      <c r="G13" s="2">
        <v>0.5</v>
      </c>
      <c r="H13" s="2">
        <v>0.83333333333333337</v>
      </c>
      <c r="I13" s="2">
        <v>0.83333333333333337</v>
      </c>
      <c r="J13" s="2"/>
      <c r="K13" s="3">
        <v>0.02</v>
      </c>
      <c r="L13" s="3">
        <v>7.0093457943925186E-2</v>
      </c>
      <c r="M13" s="4">
        <f t="shared" si="0"/>
        <v>1.5046728971962593</v>
      </c>
      <c r="N13" t="s">
        <v>38</v>
      </c>
      <c r="O13">
        <v>2.14</v>
      </c>
      <c r="P13">
        <v>2.29</v>
      </c>
      <c r="R13" s="2"/>
      <c r="S13" s="2"/>
      <c r="T13" s="2"/>
    </row>
    <row r="14" spans="1:20" x14ac:dyDescent="0.25">
      <c r="A14" t="s">
        <v>39</v>
      </c>
      <c r="B14" t="s">
        <v>17</v>
      </c>
      <c r="C14" t="s">
        <v>40</v>
      </c>
      <c r="D14" s="2">
        <v>2.833333333333333</v>
      </c>
      <c r="E14" s="2">
        <v>0.66666666666666663</v>
      </c>
      <c r="F14" s="2">
        <v>0.33333333333333331</v>
      </c>
      <c r="G14" s="2">
        <v>0.33333333333333331</v>
      </c>
      <c r="H14" s="2">
        <v>0.83333333333333337</v>
      </c>
      <c r="I14" s="2">
        <v>0.66666666666666663</v>
      </c>
      <c r="J14" s="2"/>
      <c r="K14" s="3">
        <v>0.03</v>
      </c>
      <c r="L14" s="3">
        <v>4.2780748663101519E-2</v>
      </c>
      <c r="M14" s="4">
        <f t="shared" si="0"/>
        <v>9.2691622103383928E-2</v>
      </c>
      <c r="N14" t="s">
        <v>41</v>
      </c>
      <c r="O14">
        <v>1.87</v>
      </c>
      <c r="P14">
        <v>1.95</v>
      </c>
      <c r="R14" s="2"/>
      <c r="S14" s="2"/>
      <c r="T14" s="2"/>
    </row>
    <row r="15" spans="1:20" x14ac:dyDescent="0.25">
      <c r="A15" t="s">
        <v>42</v>
      </c>
      <c r="B15" t="s">
        <v>17</v>
      </c>
      <c r="C15" t="s">
        <v>40</v>
      </c>
      <c r="D15" s="2">
        <v>2.666666666666667</v>
      </c>
      <c r="E15" s="2">
        <v>0.83333333333333337</v>
      </c>
      <c r="F15" s="2">
        <v>0.66666666666666663</v>
      </c>
      <c r="G15" s="2">
        <v>0.83333333333333337</v>
      </c>
      <c r="H15" s="2">
        <v>0</v>
      </c>
      <c r="I15" s="2">
        <v>0.33333333333333331</v>
      </c>
      <c r="J15" s="2"/>
      <c r="K15" s="3">
        <v>0.03</v>
      </c>
      <c r="L15" s="3">
        <v>7.7800134138162322E-2</v>
      </c>
      <c r="M15" s="4">
        <f t="shared" si="0"/>
        <v>1.2600044712720775</v>
      </c>
      <c r="N15" t="s">
        <v>19</v>
      </c>
      <c r="O15">
        <v>14.91</v>
      </c>
      <c r="P15">
        <v>16.07</v>
      </c>
      <c r="R15" s="2"/>
      <c r="S15" s="2"/>
      <c r="T15" s="2"/>
    </row>
    <row r="16" spans="1:20" x14ac:dyDescent="0.25">
      <c r="A16" t="s">
        <v>43</v>
      </c>
      <c r="B16" t="s">
        <v>17</v>
      </c>
      <c r="C16" t="s">
        <v>44</v>
      </c>
      <c r="D16" s="2">
        <v>2.6666666666666665</v>
      </c>
      <c r="E16" s="2">
        <v>0.66666666666666663</v>
      </c>
      <c r="F16" s="2">
        <v>0.66666666666666663</v>
      </c>
      <c r="G16" s="2">
        <v>0.33333333333333331</v>
      </c>
      <c r="H16" s="2">
        <v>0.16666666666666666</v>
      </c>
      <c r="I16" s="2">
        <v>0.83333333333333337</v>
      </c>
      <c r="J16" s="2"/>
      <c r="K16" s="3">
        <v>0.05</v>
      </c>
      <c r="L16" s="3">
        <v>6.2500000000000014E-2</v>
      </c>
      <c r="M16" s="4">
        <f t="shared" si="0"/>
        <v>0.45000000000000023</v>
      </c>
      <c r="N16" t="s">
        <v>41</v>
      </c>
      <c r="O16">
        <v>5.28</v>
      </c>
      <c r="P16">
        <v>5.61</v>
      </c>
      <c r="R16" s="2"/>
      <c r="S16" s="2"/>
      <c r="T16" s="2"/>
    </row>
    <row r="17" spans="1:20" x14ac:dyDescent="0.25">
      <c r="A17" t="s">
        <v>45</v>
      </c>
      <c r="B17" t="s">
        <v>17</v>
      </c>
      <c r="C17" t="s">
        <v>46</v>
      </c>
      <c r="D17" s="2">
        <v>2.5</v>
      </c>
      <c r="E17" s="2">
        <v>0.83333333333333337</v>
      </c>
      <c r="F17" s="2">
        <v>0.5</v>
      </c>
      <c r="G17" s="2">
        <v>0.66666666666666663</v>
      </c>
      <c r="H17" s="2">
        <v>0.16666666666666666</v>
      </c>
      <c r="I17" s="2">
        <v>0.33333333333333331</v>
      </c>
      <c r="J17" s="2"/>
      <c r="K17" s="3">
        <v>0.02</v>
      </c>
      <c r="L17" s="3">
        <v>0.12608695652173915</v>
      </c>
      <c r="M17" s="4">
        <f t="shared" si="0"/>
        <v>4.304347826086957</v>
      </c>
      <c r="N17" t="s">
        <v>47</v>
      </c>
      <c r="O17">
        <v>2.2999999999999998</v>
      </c>
      <c r="P17">
        <v>2.59</v>
      </c>
      <c r="R17" s="2"/>
      <c r="S17" s="2"/>
      <c r="T17" s="2"/>
    </row>
    <row r="18" spans="1:20" x14ac:dyDescent="0.25">
      <c r="A18" t="s">
        <v>48</v>
      </c>
      <c r="B18" t="s">
        <v>17</v>
      </c>
      <c r="C18" t="s">
        <v>40</v>
      </c>
      <c r="D18" s="2">
        <v>2.333333333333333</v>
      </c>
      <c r="E18" s="2">
        <v>0.66666666666666663</v>
      </c>
      <c r="F18" s="2">
        <v>0.5</v>
      </c>
      <c r="G18" s="2">
        <v>0.33333333333333331</v>
      </c>
      <c r="H18" s="2">
        <v>0</v>
      </c>
      <c r="I18" s="2">
        <v>0.83333333333333337</v>
      </c>
      <c r="J18" s="2"/>
      <c r="K18" s="3">
        <v>0.03</v>
      </c>
      <c r="L18" s="3">
        <v>0.17010309278350519</v>
      </c>
      <c r="M18" s="4">
        <f t="shared" si="0"/>
        <v>4.3367697594501733</v>
      </c>
      <c r="N18" t="s">
        <v>49</v>
      </c>
      <c r="O18">
        <v>1.94</v>
      </c>
      <c r="P18">
        <v>2.27</v>
      </c>
      <c r="R18" s="2"/>
      <c r="S18" s="2"/>
      <c r="T18" s="2"/>
    </row>
    <row r="19" spans="1:20" x14ac:dyDescent="0.25">
      <c r="A19" t="s">
        <v>50</v>
      </c>
      <c r="B19" t="s">
        <v>17</v>
      </c>
      <c r="C19" t="s">
        <v>40</v>
      </c>
      <c r="D19" s="2">
        <v>2.166666666666667</v>
      </c>
      <c r="E19" s="2">
        <v>0.5</v>
      </c>
      <c r="F19" s="2">
        <v>0.5</v>
      </c>
      <c r="G19" s="2">
        <v>0.5</v>
      </c>
      <c r="H19" s="2">
        <v>0.16666666666666666</v>
      </c>
      <c r="I19" s="2">
        <v>0.5</v>
      </c>
      <c r="J19" s="2"/>
      <c r="K19" s="3">
        <v>0.03</v>
      </c>
      <c r="L19" s="3">
        <v>7.3267326732673291E-2</v>
      </c>
      <c r="M19" s="4">
        <f t="shared" si="0"/>
        <v>1.1089108910891097</v>
      </c>
      <c r="N19" t="s">
        <v>51</v>
      </c>
      <c r="O19">
        <v>5.05</v>
      </c>
      <c r="P19">
        <v>5.42</v>
      </c>
      <c r="R19" s="2"/>
      <c r="S19" s="2"/>
      <c r="T19" s="2"/>
    </row>
    <row r="20" spans="1:20" x14ac:dyDescent="0.25">
      <c r="A20" t="s">
        <v>52</v>
      </c>
      <c r="B20" t="s">
        <v>17</v>
      </c>
      <c r="C20" t="s">
        <v>53</v>
      </c>
      <c r="D20" s="2">
        <v>2.166666666666667</v>
      </c>
      <c r="E20" s="2">
        <v>0.66666666666666663</v>
      </c>
      <c r="F20" s="2">
        <v>0.33333333333333331</v>
      </c>
      <c r="G20" s="2">
        <v>0.16666666666666666</v>
      </c>
      <c r="H20" s="2">
        <v>0.16666666666666666</v>
      </c>
      <c r="I20" s="2">
        <v>0.83333333333333337</v>
      </c>
      <c r="J20" s="2"/>
      <c r="K20" s="3">
        <v>0.05</v>
      </c>
      <c r="L20" s="3">
        <v>0.32098765432098753</v>
      </c>
      <c r="M20" s="4">
        <f t="shared" si="0"/>
        <v>5.6197530864197507</v>
      </c>
      <c r="N20" t="s">
        <v>54</v>
      </c>
      <c r="O20">
        <v>2.4300000000000002</v>
      </c>
      <c r="P20">
        <v>3.21</v>
      </c>
      <c r="R20" s="2"/>
      <c r="S20" s="2"/>
      <c r="T20" s="2"/>
    </row>
    <row r="21" spans="1:20" x14ac:dyDescent="0.25">
      <c r="A21" t="s">
        <v>55</v>
      </c>
      <c r="B21" t="s">
        <v>17</v>
      </c>
      <c r="C21" t="s">
        <v>46</v>
      </c>
      <c r="D21" s="2">
        <v>2.166666666666667</v>
      </c>
      <c r="E21" s="2">
        <v>0.83333333333333337</v>
      </c>
      <c r="F21" s="2">
        <v>0</v>
      </c>
      <c r="G21" s="2">
        <v>0.16666666666666666</v>
      </c>
      <c r="H21" s="2">
        <v>0.16666666666666666</v>
      </c>
      <c r="I21" s="2">
        <v>1</v>
      </c>
      <c r="J21" s="2"/>
      <c r="K21" s="3">
        <v>0.02</v>
      </c>
      <c r="L21" s="3">
        <v>0.32934131736526961</v>
      </c>
      <c r="M21" s="4">
        <f t="shared" si="0"/>
        <v>14.467065868263482</v>
      </c>
      <c r="N21" t="s">
        <v>56</v>
      </c>
      <c r="O21">
        <v>1.67</v>
      </c>
      <c r="P21">
        <v>2.2200000000000002</v>
      </c>
      <c r="R21" s="2"/>
      <c r="S21" s="2"/>
      <c r="T21" s="2"/>
    </row>
    <row r="22" spans="1:20" x14ac:dyDescent="0.25">
      <c r="A22" t="s">
        <v>57</v>
      </c>
      <c r="B22" t="s">
        <v>17</v>
      </c>
      <c r="C22" t="s">
        <v>58</v>
      </c>
      <c r="D22" s="2">
        <v>2.1666666666666665</v>
      </c>
      <c r="E22" s="2">
        <v>0.83333333333333337</v>
      </c>
      <c r="F22" s="2">
        <v>0.16666666666666666</v>
      </c>
      <c r="G22" s="2">
        <v>0.33333333333333331</v>
      </c>
      <c r="H22" s="2">
        <v>0.66666666666666663</v>
      </c>
      <c r="I22" s="2">
        <v>0.16666666666666666</v>
      </c>
      <c r="J22" s="2"/>
      <c r="K22" s="3">
        <v>0.03</v>
      </c>
      <c r="L22" s="3">
        <v>5.3191489361702178E-3</v>
      </c>
      <c r="M22" s="4">
        <f t="shared" si="0"/>
        <v>-1.156028368794326</v>
      </c>
      <c r="N22" t="s">
        <v>59</v>
      </c>
      <c r="O22">
        <v>3.76</v>
      </c>
      <c r="P22">
        <v>3.78</v>
      </c>
      <c r="R22" s="2"/>
      <c r="S22" s="2"/>
      <c r="T22" s="2"/>
    </row>
    <row r="23" spans="1:20" x14ac:dyDescent="0.25">
      <c r="A23" t="s">
        <v>60</v>
      </c>
      <c r="B23" t="s">
        <v>17</v>
      </c>
      <c r="C23" t="s">
        <v>61</v>
      </c>
      <c r="D23" s="2">
        <v>2.1666666666666665</v>
      </c>
      <c r="E23" s="2">
        <v>0.66666666666666663</v>
      </c>
      <c r="F23" s="2">
        <v>0.5</v>
      </c>
      <c r="G23" s="2">
        <v>0.66666666666666663</v>
      </c>
      <c r="H23" s="2">
        <v>0</v>
      </c>
      <c r="I23" s="2">
        <v>0.33333333333333331</v>
      </c>
      <c r="J23" s="2"/>
      <c r="K23" s="3">
        <v>0.03</v>
      </c>
      <c r="L23" s="3">
        <v>0.14760147601476012</v>
      </c>
      <c r="M23" s="4">
        <f t="shared" si="0"/>
        <v>3.5867158671586705</v>
      </c>
      <c r="N23" t="s">
        <v>62</v>
      </c>
      <c r="O23">
        <v>2.71</v>
      </c>
      <c r="P23">
        <v>3.11</v>
      </c>
      <c r="R23" s="2"/>
      <c r="S23" s="2"/>
      <c r="T23" s="2"/>
    </row>
    <row r="24" spans="1:20" x14ac:dyDescent="0.25">
      <c r="A24" t="s">
        <v>63</v>
      </c>
      <c r="B24" t="s">
        <v>17</v>
      </c>
      <c r="C24" t="s">
        <v>37</v>
      </c>
      <c r="D24" s="2">
        <v>2.1666666666666665</v>
      </c>
      <c r="E24" s="2">
        <v>0.66666666666666663</v>
      </c>
      <c r="F24" s="2">
        <v>0</v>
      </c>
      <c r="G24" s="2">
        <v>0.33333333333333331</v>
      </c>
      <c r="H24" s="2">
        <v>0.5</v>
      </c>
      <c r="I24" s="2">
        <v>0.66666666666666663</v>
      </c>
      <c r="J24" s="2"/>
      <c r="K24" s="3">
        <v>0.02</v>
      </c>
      <c r="L24" s="3">
        <v>0.10843373493975914</v>
      </c>
      <c r="M24" s="4">
        <f t="shared" si="0"/>
        <v>3.4216867469879562</v>
      </c>
      <c r="N24" t="s">
        <v>41</v>
      </c>
      <c r="O24">
        <v>3.32</v>
      </c>
      <c r="P24">
        <v>3.68</v>
      </c>
      <c r="R24" s="2"/>
      <c r="S24" s="2"/>
      <c r="T24" s="2"/>
    </row>
    <row r="25" spans="1:20" x14ac:dyDescent="0.25">
      <c r="A25" t="s">
        <v>64</v>
      </c>
      <c r="B25" t="s">
        <v>17</v>
      </c>
      <c r="C25" t="s">
        <v>37</v>
      </c>
      <c r="D25" s="2">
        <v>2.1666666666666665</v>
      </c>
      <c r="E25" s="2">
        <v>0.66666666666666663</v>
      </c>
      <c r="F25" s="2">
        <v>0.5</v>
      </c>
      <c r="G25" s="2">
        <v>0.5</v>
      </c>
      <c r="H25" s="2">
        <v>0.16666666666666666</v>
      </c>
      <c r="I25" s="2">
        <v>0.33333333333333331</v>
      </c>
      <c r="J25" s="2"/>
      <c r="K25" s="3">
        <v>0.02</v>
      </c>
      <c r="L25" s="3">
        <v>0.17499999999999988</v>
      </c>
      <c r="M25" s="4">
        <f t="shared" si="0"/>
        <v>6.7499999999999938</v>
      </c>
      <c r="N25" t="s">
        <v>41</v>
      </c>
      <c r="O25">
        <v>3.2</v>
      </c>
      <c r="P25">
        <v>3.76</v>
      </c>
      <c r="R25" s="2"/>
      <c r="S25" s="2"/>
      <c r="T25" s="2"/>
    </row>
    <row r="26" spans="1:20" x14ac:dyDescent="0.25">
      <c r="A26" t="s">
        <v>65</v>
      </c>
      <c r="B26" t="s">
        <v>17</v>
      </c>
      <c r="C26" t="s">
        <v>37</v>
      </c>
      <c r="D26" s="2">
        <v>2.1666666666666665</v>
      </c>
      <c r="E26" s="2">
        <v>0.66666666666666663</v>
      </c>
      <c r="F26" s="2">
        <v>0.5</v>
      </c>
      <c r="G26" s="2">
        <v>0.33333333333333331</v>
      </c>
      <c r="H26" s="2">
        <v>0</v>
      </c>
      <c r="I26" s="2">
        <v>0.66666666666666663</v>
      </c>
      <c r="J26" s="2"/>
      <c r="K26" s="3">
        <v>0.03</v>
      </c>
      <c r="L26" s="3">
        <v>0.11250000000000002</v>
      </c>
      <c r="M26" s="4">
        <f t="shared" si="0"/>
        <v>2.416666666666667</v>
      </c>
      <c r="N26" t="s">
        <v>41</v>
      </c>
      <c r="O26">
        <v>2.4</v>
      </c>
      <c r="P26">
        <v>2.67</v>
      </c>
      <c r="R26" s="2"/>
      <c r="S26" s="2"/>
      <c r="T26" s="2"/>
    </row>
    <row r="27" spans="1:20" x14ac:dyDescent="0.25">
      <c r="E27" s="2"/>
      <c r="F27" s="2"/>
      <c r="G27" s="2"/>
      <c r="H27" s="2"/>
      <c r="I27" s="2"/>
      <c r="J27" s="2"/>
      <c r="K27" s="3"/>
      <c r="L27" s="3"/>
      <c r="M27" s="4"/>
      <c r="R27" s="2"/>
      <c r="S27" s="2"/>
      <c r="T27" s="2"/>
    </row>
    <row r="28" spans="1:20" x14ac:dyDescent="0.25">
      <c r="A28" s="1" t="s">
        <v>67</v>
      </c>
      <c r="D28" s="1" t="s">
        <v>4</v>
      </c>
      <c r="E28" s="2"/>
      <c r="F28" s="2"/>
      <c r="G28" s="2"/>
      <c r="H28" s="2"/>
      <c r="I28" s="2"/>
      <c r="J28" s="2"/>
      <c r="K28" s="3"/>
      <c r="L28" s="3"/>
      <c r="M28" s="4"/>
      <c r="R28" s="2"/>
      <c r="S28" s="2"/>
      <c r="T28" s="2"/>
    </row>
    <row r="29" spans="1:20" x14ac:dyDescent="0.25">
      <c r="A29" t="s">
        <v>68</v>
      </c>
      <c r="B29" t="s">
        <v>17</v>
      </c>
      <c r="C29" t="s">
        <v>69</v>
      </c>
      <c r="D29" s="2">
        <v>3.5000000000000004</v>
      </c>
      <c r="E29" s="2">
        <v>0.83333333333333337</v>
      </c>
      <c r="F29" s="2">
        <v>0</v>
      </c>
      <c r="G29" s="2">
        <v>0.83333333333333337</v>
      </c>
      <c r="H29" s="2">
        <v>1</v>
      </c>
      <c r="I29" s="2">
        <v>0.83333333333333337</v>
      </c>
      <c r="J29" s="2"/>
      <c r="K29" s="3">
        <v>0.05</v>
      </c>
      <c r="L29" s="3">
        <v>-3.4339229968782525E-2</v>
      </c>
      <c r="M29" s="4">
        <f t="shared" si="0"/>
        <v>-1.4867845993756506</v>
      </c>
      <c r="N29" t="s">
        <v>70</v>
      </c>
      <c r="O29">
        <v>19.22</v>
      </c>
      <c r="P29">
        <v>18.559999999999999</v>
      </c>
      <c r="R29" s="2"/>
      <c r="S29" s="2"/>
      <c r="T29" s="2"/>
    </row>
    <row r="30" spans="1:20" x14ac:dyDescent="0.25">
      <c r="A30" t="s">
        <v>71</v>
      </c>
      <c r="B30" t="s">
        <v>17</v>
      </c>
      <c r="C30" t="s">
        <v>69</v>
      </c>
      <c r="D30" s="2">
        <v>3.333333333333333</v>
      </c>
      <c r="E30" s="2">
        <v>0</v>
      </c>
      <c r="F30" s="2">
        <v>1</v>
      </c>
      <c r="G30" s="2">
        <v>1</v>
      </c>
      <c r="H30" s="2">
        <v>0.66666666666666663</v>
      </c>
      <c r="I30" s="2">
        <v>0.66666666666666663</v>
      </c>
      <c r="J30" s="2"/>
      <c r="K30" s="3">
        <v>7.0000000000000007E-2</v>
      </c>
      <c r="L30" s="3">
        <v>0.48327137546468413</v>
      </c>
      <c r="M30" s="4">
        <f t="shared" si="0"/>
        <v>6.3324482209240589</v>
      </c>
      <c r="N30" t="s">
        <v>47</v>
      </c>
      <c r="O30">
        <v>2.69</v>
      </c>
      <c r="P30">
        <v>3.99</v>
      </c>
      <c r="R30" s="2"/>
      <c r="S30" s="2"/>
      <c r="T30" s="2"/>
    </row>
    <row r="31" spans="1:20" x14ac:dyDescent="0.25">
      <c r="A31" t="s">
        <v>72</v>
      </c>
      <c r="B31" t="s">
        <v>17</v>
      </c>
      <c r="C31" t="s">
        <v>69</v>
      </c>
      <c r="D31" s="2">
        <v>3.166666666666667</v>
      </c>
      <c r="E31" s="2">
        <v>0.33333333333333331</v>
      </c>
      <c r="F31" s="2">
        <v>0.16666666666666666</v>
      </c>
      <c r="G31" s="2">
        <v>0.83333333333333337</v>
      </c>
      <c r="H31" s="2">
        <v>0.83333333333333337</v>
      </c>
      <c r="I31" s="2">
        <v>1</v>
      </c>
      <c r="J31" s="2"/>
      <c r="K31" s="3">
        <v>0.05</v>
      </c>
      <c r="L31" s="3">
        <v>0.27438016528925624</v>
      </c>
      <c r="M31" s="4">
        <f t="shared" si="0"/>
        <v>4.6876033057851245</v>
      </c>
      <c r="N31" t="s">
        <v>47</v>
      </c>
      <c r="O31">
        <v>6.05</v>
      </c>
      <c r="P31">
        <v>7.71</v>
      </c>
      <c r="R31" s="2"/>
      <c r="S31" s="2"/>
      <c r="T31" s="2"/>
    </row>
    <row r="32" spans="1:20" x14ac:dyDescent="0.25">
      <c r="A32" t="s">
        <v>73</v>
      </c>
      <c r="B32" t="s">
        <v>17</v>
      </c>
      <c r="C32" t="s">
        <v>69</v>
      </c>
      <c r="D32" s="2">
        <v>3.1666666666666665</v>
      </c>
      <c r="E32" s="2">
        <v>0.33333333333333331</v>
      </c>
      <c r="F32" s="2">
        <v>0.66666666666666663</v>
      </c>
      <c r="G32" s="2">
        <v>0.83333333333333337</v>
      </c>
      <c r="H32" s="2">
        <v>0.66666666666666663</v>
      </c>
      <c r="I32" s="2">
        <v>0.66666666666666663</v>
      </c>
      <c r="J32" s="2"/>
      <c r="K32" s="3">
        <v>0.04</v>
      </c>
      <c r="L32" s="3">
        <v>0.26744186046511637</v>
      </c>
      <c r="M32" s="4">
        <f t="shared" si="0"/>
        <v>5.6860465116279091</v>
      </c>
      <c r="N32" t="s">
        <v>23</v>
      </c>
      <c r="O32">
        <v>0.86</v>
      </c>
      <c r="P32">
        <v>1.0900000000000001</v>
      </c>
      <c r="R32" s="2"/>
      <c r="S32" s="2"/>
      <c r="T32" s="2"/>
    </row>
    <row r="33" spans="1:20" x14ac:dyDescent="0.25">
      <c r="A33" t="s">
        <v>74</v>
      </c>
      <c r="B33" t="s">
        <v>17</v>
      </c>
      <c r="C33" t="s">
        <v>69</v>
      </c>
      <c r="D33" s="2">
        <v>3.1666666666666665</v>
      </c>
      <c r="E33" s="2">
        <v>0.66666666666666663</v>
      </c>
      <c r="F33" s="2">
        <v>0.5</v>
      </c>
      <c r="G33" s="2">
        <v>1</v>
      </c>
      <c r="H33" s="2">
        <v>0.33333333333333331</v>
      </c>
      <c r="I33" s="2">
        <v>0.66666666666666663</v>
      </c>
      <c r="J33" s="2"/>
      <c r="K33" s="3">
        <v>0.03</v>
      </c>
      <c r="L33" s="3">
        <v>-4.3165467625899165E-2</v>
      </c>
      <c r="M33" s="4">
        <f t="shared" si="0"/>
        <v>-2.7721822541966388</v>
      </c>
      <c r="N33" t="s">
        <v>28</v>
      </c>
      <c r="O33">
        <v>1.39</v>
      </c>
      <c r="P33">
        <v>1.33</v>
      </c>
      <c r="R33" s="2"/>
      <c r="S33" s="2"/>
      <c r="T33" s="2"/>
    </row>
    <row r="34" spans="1:20" x14ac:dyDescent="0.25">
      <c r="A34" t="s">
        <v>75</v>
      </c>
      <c r="B34" t="s">
        <v>17</v>
      </c>
      <c r="C34" t="s">
        <v>76</v>
      </c>
      <c r="D34" s="2">
        <v>3.0000000000000004</v>
      </c>
      <c r="E34" s="2">
        <v>0.5</v>
      </c>
      <c r="F34" s="2">
        <v>0.5</v>
      </c>
      <c r="G34" s="2">
        <v>0.83333333333333337</v>
      </c>
      <c r="H34" s="2">
        <v>0.33333333333333331</v>
      </c>
      <c r="I34" s="2">
        <v>0.83333333333333337</v>
      </c>
      <c r="J34" s="2"/>
      <c r="K34" s="3">
        <v>0.04</v>
      </c>
      <c r="L34" s="3">
        <v>0.3571428571428571</v>
      </c>
      <c r="M34" s="4">
        <f t="shared" si="0"/>
        <v>7.9285714285714279</v>
      </c>
      <c r="N34" t="s">
        <v>77</v>
      </c>
      <c r="O34">
        <v>1.26</v>
      </c>
      <c r="P34">
        <v>1.71</v>
      </c>
      <c r="R34" s="2"/>
      <c r="S34" s="2"/>
      <c r="T34" s="2"/>
    </row>
    <row r="35" spans="1:20" x14ac:dyDescent="0.25">
      <c r="A35" t="s">
        <v>78</v>
      </c>
      <c r="B35" t="s">
        <v>17</v>
      </c>
      <c r="C35" t="s">
        <v>79</v>
      </c>
      <c r="D35" s="2">
        <v>3</v>
      </c>
      <c r="E35" s="2">
        <v>0.5</v>
      </c>
      <c r="F35" s="2">
        <v>0.16666666666666666</v>
      </c>
      <c r="G35" s="2">
        <v>0.83333333333333337</v>
      </c>
      <c r="H35" s="2">
        <v>0.66666666666666663</v>
      </c>
      <c r="I35" s="2">
        <v>0.83333333333333337</v>
      </c>
      <c r="J35" s="2"/>
      <c r="K35" s="3">
        <v>0.03</v>
      </c>
      <c r="L35" s="3">
        <v>0.23829531812725083</v>
      </c>
      <c r="M35" s="4">
        <f t="shared" si="0"/>
        <v>6.609843937575028</v>
      </c>
      <c r="N35" t="s">
        <v>49</v>
      </c>
      <c r="O35">
        <v>16.66</v>
      </c>
      <c r="P35">
        <v>20.63</v>
      </c>
      <c r="R35" s="2"/>
      <c r="S35" s="2"/>
      <c r="T35" s="2"/>
    </row>
    <row r="36" spans="1:20" x14ac:dyDescent="0.25">
      <c r="A36" s="1"/>
      <c r="D36" s="2"/>
      <c r="E36" s="2"/>
      <c r="F36" s="2"/>
      <c r="G36" s="2"/>
      <c r="H36" s="2"/>
      <c r="I36" s="2"/>
      <c r="J36" s="2"/>
      <c r="K36" s="3"/>
      <c r="L36" s="3"/>
      <c r="M36" s="4"/>
      <c r="R36" s="2"/>
      <c r="S36" s="2"/>
      <c r="T36" s="2"/>
    </row>
    <row r="37" spans="1:20" x14ac:dyDescent="0.25">
      <c r="A37" s="1" t="s">
        <v>82</v>
      </c>
      <c r="D37" s="1" t="s">
        <v>4</v>
      </c>
      <c r="E37" s="2"/>
      <c r="F37" s="2"/>
      <c r="G37" s="2"/>
      <c r="H37" s="2"/>
      <c r="I37" s="2"/>
      <c r="J37" s="2"/>
      <c r="K37" s="3"/>
      <c r="L37" s="3"/>
      <c r="M37" s="4"/>
      <c r="R37" s="2"/>
      <c r="S37" s="2"/>
      <c r="T37" s="2"/>
    </row>
    <row r="38" spans="1:20" x14ac:dyDescent="0.25">
      <c r="A38" t="s">
        <v>83</v>
      </c>
      <c r="B38" t="s">
        <v>17</v>
      </c>
      <c r="C38" t="s">
        <v>84</v>
      </c>
      <c r="D38" s="2">
        <v>3.3333333333333335</v>
      </c>
      <c r="E38" s="2">
        <v>0.66666666666666663</v>
      </c>
      <c r="F38" s="2">
        <v>0.33333333333333331</v>
      </c>
      <c r="G38" s="2">
        <v>0.66666666666666663</v>
      </c>
      <c r="H38" s="2">
        <v>0.83333333333333337</v>
      </c>
      <c r="I38" s="2">
        <v>0.83333333333333337</v>
      </c>
      <c r="J38" s="2"/>
      <c r="K38" s="3">
        <v>0.03</v>
      </c>
      <c r="L38" s="3">
        <v>0.19587628865979376</v>
      </c>
      <c r="M38" s="4">
        <f t="shared" ref="M38:M59" si="1">(L38-4%)/K38</f>
        <v>5.1958762886597922</v>
      </c>
      <c r="N38" t="s">
        <v>28</v>
      </c>
      <c r="O38">
        <v>7.76</v>
      </c>
      <c r="P38">
        <v>9.2799999999999994</v>
      </c>
      <c r="R38" s="2"/>
      <c r="S38" s="2"/>
      <c r="T38" s="2"/>
    </row>
    <row r="39" spans="1:20" x14ac:dyDescent="0.25">
      <c r="A39" t="s">
        <v>85</v>
      </c>
      <c r="B39" t="s">
        <v>17</v>
      </c>
      <c r="C39" t="s">
        <v>86</v>
      </c>
      <c r="D39" s="2">
        <v>3.1666666666666665</v>
      </c>
      <c r="E39" s="2">
        <v>0.5</v>
      </c>
      <c r="F39" s="2">
        <v>0.66666666666666663</v>
      </c>
      <c r="G39" s="2">
        <v>1</v>
      </c>
      <c r="H39" s="2">
        <v>0.33333333333333331</v>
      </c>
      <c r="I39" s="2">
        <v>0.66666666666666663</v>
      </c>
      <c r="J39" s="2"/>
      <c r="K39" s="3">
        <v>0.04</v>
      </c>
      <c r="L39" s="3">
        <v>0.32812499999999994</v>
      </c>
      <c r="M39" s="4">
        <f t="shared" si="1"/>
        <v>7.2031249999999991</v>
      </c>
      <c r="N39" t="s">
        <v>87</v>
      </c>
      <c r="O39">
        <v>1.92</v>
      </c>
      <c r="P39">
        <v>2.5499999999999998</v>
      </c>
      <c r="R39" s="2"/>
      <c r="S39" s="2"/>
      <c r="T39" s="2"/>
    </row>
    <row r="40" spans="1:20" x14ac:dyDescent="0.25">
      <c r="A40" t="s">
        <v>88</v>
      </c>
      <c r="B40" t="s">
        <v>17</v>
      </c>
      <c r="C40" t="s">
        <v>86</v>
      </c>
      <c r="D40" s="2">
        <v>3.1666666666666665</v>
      </c>
      <c r="E40" s="2">
        <v>0.33333333333333331</v>
      </c>
      <c r="F40" s="2">
        <v>0.33333333333333331</v>
      </c>
      <c r="G40" s="2">
        <v>1</v>
      </c>
      <c r="H40" s="2">
        <v>0.83333333333333337</v>
      </c>
      <c r="I40" s="2">
        <v>0.66666666666666663</v>
      </c>
      <c r="J40" s="2"/>
      <c r="K40" s="3">
        <v>0.13</v>
      </c>
      <c r="L40" s="3">
        <v>0.76530612244897955</v>
      </c>
      <c r="M40" s="4">
        <f t="shared" si="1"/>
        <v>5.5792778649921502</v>
      </c>
      <c r="N40" t="s">
        <v>89</v>
      </c>
      <c r="O40">
        <v>0.98</v>
      </c>
      <c r="P40">
        <v>1.73</v>
      </c>
      <c r="R40" s="2"/>
      <c r="S40" s="2"/>
      <c r="T40" s="2"/>
    </row>
    <row r="41" spans="1:20" x14ac:dyDescent="0.25">
      <c r="A41" t="s">
        <v>90</v>
      </c>
      <c r="B41" t="s">
        <v>17</v>
      </c>
      <c r="C41" t="s">
        <v>91</v>
      </c>
      <c r="D41" s="2">
        <v>3.1666666666666665</v>
      </c>
      <c r="E41" s="2">
        <v>0.66666666666666663</v>
      </c>
      <c r="F41" s="2">
        <v>0.5</v>
      </c>
      <c r="G41" s="2">
        <v>1</v>
      </c>
      <c r="H41" s="2">
        <v>0.33333333333333331</v>
      </c>
      <c r="I41" s="2">
        <v>0.66666666666666663</v>
      </c>
      <c r="J41" s="2"/>
      <c r="K41" s="3">
        <v>0.06</v>
      </c>
      <c r="L41" s="3">
        <v>0.5140845070422535</v>
      </c>
      <c r="M41" s="4">
        <f t="shared" si="1"/>
        <v>7.9014084507042259</v>
      </c>
      <c r="N41" t="s">
        <v>92</v>
      </c>
      <c r="O41">
        <v>1.42</v>
      </c>
      <c r="P41">
        <v>2.15</v>
      </c>
      <c r="R41" s="2"/>
      <c r="S41" s="2"/>
      <c r="T41" s="2"/>
    </row>
    <row r="42" spans="1:20" x14ac:dyDescent="0.25">
      <c r="A42" t="s">
        <v>93</v>
      </c>
      <c r="B42" t="s">
        <v>17</v>
      </c>
      <c r="C42" t="s">
        <v>91</v>
      </c>
      <c r="D42" s="2">
        <v>3.1666666666666665</v>
      </c>
      <c r="E42" s="2">
        <v>0.5</v>
      </c>
      <c r="F42" s="2">
        <v>0.33333333333333331</v>
      </c>
      <c r="G42" s="2">
        <v>1</v>
      </c>
      <c r="H42" s="2">
        <v>0.83333333333333337</v>
      </c>
      <c r="I42" s="2">
        <v>0.5</v>
      </c>
      <c r="J42" s="2"/>
      <c r="K42" s="3">
        <v>0.03</v>
      </c>
      <c r="L42" s="3">
        <v>0.223954642097803</v>
      </c>
      <c r="M42" s="4">
        <f t="shared" si="1"/>
        <v>6.1318214032600995</v>
      </c>
      <c r="N42" t="s">
        <v>19</v>
      </c>
      <c r="O42">
        <v>14.11</v>
      </c>
      <c r="P42">
        <v>17.27</v>
      </c>
      <c r="R42" s="2"/>
      <c r="S42" s="2"/>
      <c r="T42" s="2"/>
    </row>
    <row r="43" spans="1:20" x14ac:dyDescent="0.25">
      <c r="A43" t="s">
        <v>94</v>
      </c>
      <c r="B43" t="s">
        <v>17</v>
      </c>
      <c r="C43" t="s">
        <v>95</v>
      </c>
      <c r="D43" s="2">
        <v>3.0000000000000004</v>
      </c>
      <c r="E43" s="2">
        <v>0.66666666666666663</v>
      </c>
      <c r="F43" s="2">
        <v>0.33333333333333331</v>
      </c>
      <c r="G43" s="2">
        <v>0.83333333333333337</v>
      </c>
      <c r="H43" s="2">
        <v>0.33333333333333331</v>
      </c>
      <c r="I43" s="2">
        <v>0.83333333333333337</v>
      </c>
      <c r="J43" s="2"/>
      <c r="K43" s="3">
        <v>0.04</v>
      </c>
      <c r="L43" s="3">
        <v>0.38636363636363635</v>
      </c>
      <c r="M43" s="4">
        <f t="shared" si="1"/>
        <v>8.6590909090909083</v>
      </c>
      <c r="N43" t="s">
        <v>96</v>
      </c>
      <c r="O43">
        <v>0.88</v>
      </c>
      <c r="P43">
        <v>1.22</v>
      </c>
      <c r="R43" s="2"/>
      <c r="S43" s="2"/>
      <c r="T43" s="2"/>
    </row>
    <row r="44" spans="1:20" x14ac:dyDescent="0.25">
      <c r="A44" t="s">
        <v>97</v>
      </c>
      <c r="B44" t="s">
        <v>17</v>
      </c>
      <c r="C44" t="s">
        <v>98</v>
      </c>
      <c r="D44" s="2">
        <v>3</v>
      </c>
      <c r="E44" s="2">
        <v>0.66666666666666663</v>
      </c>
      <c r="F44" s="2">
        <v>0.33333333333333331</v>
      </c>
      <c r="G44" s="2">
        <v>0.5</v>
      </c>
      <c r="H44" s="2">
        <v>1</v>
      </c>
      <c r="I44" s="2">
        <v>0.5</v>
      </c>
      <c r="J44" s="2"/>
      <c r="K44" s="3">
        <v>0.02</v>
      </c>
      <c r="L44" s="3">
        <v>2.5843881856540001E-2</v>
      </c>
      <c r="M44" s="4">
        <f t="shared" si="1"/>
        <v>-0.70780590717299996</v>
      </c>
      <c r="N44" t="s">
        <v>99</v>
      </c>
      <c r="O44">
        <v>18.96</v>
      </c>
      <c r="P44">
        <v>19.45</v>
      </c>
      <c r="R44" s="2"/>
      <c r="S44" s="2"/>
      <c r="T44" s="2"/>
    </row>
    <row r="45" spans="1:20" x14ac:dyDescent="0.25">
      <c r="A45" t="s">
        <v>100</v>
      </c>
      <c r="B45" t="s">
        <v>17</v>
      </c>
      <c r="C45" t="s">
        <v>91</v>
      </c>
      <c r="D45" s="2">
        <v>3</v>
      </c>
      <c r="E45" s="2">
        <v>0.66666666666666663</v>
      </c>
      <c r="F45" s="2">
        <v>0.33333333333333331</v>
      </c>
      <c r="G45" s="2">
        <v>1</v>
      </c>
      <c r="H45" s="2">
        <v>0.66666666666666663</v>
      </c>
      <c r="I45" s="2">
        <v>0.33333333333333331</v>
      </c>
      <c r="J45" s="2"/>
      <c r="K45" s="3">
        <v>0.03</v>
      </c>
      <c r="L45" s="3">
        <v>9.2105263157894676E-2</v>
      </c>
      <c r="M45" s="4">
        <f t="shared" si="1"/>
        <v>1.736842105263156</v>
      </c>
      <c r="N45" t="s">
        <v>101</v>
      </c>
      <c r="O45">
        <v>1.52</v>
      </c>
      <c r="P45">
        <v>1.66</v>
      </c>
      <c r="R45" s="2"/>
      <c r="S45" s="2"/>
      <c r="T45" s="2"/>
    </row>
    <row r="46" spans="1:20" x14ac:dyDescent="0.25">
      <c r="A46" t="s">
        <v>102</v>
      </c>
      <c r="B46" t="s">
        <v>17</v>
      </c>
      <c r="C46" t="s">
        <v>91</v>
      </c>
      <c r="D46" s="2">
        <v>3</v>
      </c>
      <c r="E46" s="2">
        <v>0.5</v>
      </c>
      <c r="F46" s="2">
        <v>0.33333333333333331</v>
      </c>
      <c r="G46" s="2">
        <v>0.83333333333333337</v>
      </c>
      <c r="H46" s="2">
        <v>0.5</v>
      </c>
      <c r="I46" s="2">
        <v>0.83333333333333337</v>
      </c>
      <c r="J46" s="2"/>
      <c r="K46" s="3">
        <v>0.08</v>
      </c>
      <c r="L46" s="3">
        <v>0.17073170731707327</v>
      </c>
      <c r="M46" s="4">
        <f t="shared" si="1"/>
        <v>1.6341463414634156</v>
      </c>
      <c r="N46" t="s">
        <v>47</v>
      </c>
      <c r="O46">
        <v>3.69</v>
      </c>
      <c r="P46">
        <v>4.32</v>
      </c>
      <c r="R46" s="2"/>
      <c r="S46" s="2"/>
      <c r="T46" s="2"/>
    </row>
    <row r="47" spans="1:20" x14ac:dyDescent="0.25">
      <c r="A47" t="s">
        <v>103</v>
      </c>
      <c r="B47" t="s">
        <v>17</v>
      </c>
      <c r="C47" t="s">
        <v>84</v>
      </c>
      <c r="D47" s="2">
        <v>3</v>
      </c>
      <c r="E47" s="2">
        <v>0.5</v>
      </c>
      <c r="F47" s="2">
        <v>0.33333333333333331</v>
      </c>
      <c r="G47" s="2">
        <v>0.5</v>
      </c>
      <c r="H47" s="2">
        <v>0.66666666666666663</v>
      </c>
      <c r="I47" s="2">
        <v>1</v>
      </c>
      <c r="J47" s="2"/>
      <c r="K47" s="3">
        <v>0.03</v>
      </c>
      <c r="L47" s="3">
        <v>0.22049286640726332</v>
      </c>
      <c r="M47" s="4">
        <f t="shared" si="1"/>
        <v>6.0164288802421106</v>
      </c>
      <c r="N47" t="s">
        <v>28</v>
      </c>
      <c r="O47">
        <v>15.42</v>
      </c>
      <c r="P47">
        <v>18.82</v>
      </c>
      <c r="R47" s="2"/>
      <c r="S47" s="2"/>
      <c r="T47" s="2"/>
    </row>
    <row r="48" spans="1:20" x14ac:dyDescent="0.25">
      <c r="A48" t="s">
        <v>104</v>
      </c>
      <c r="B48" t="s">
        <v>17</v>
      </c>
      <c r="C48" t="s">
        <v>91</v>
      </c>
      <c r="D48" s="2">
        <v>2.9999999999999996</v>
      </c>
      <c r="E48" s="2">
        <v>0.5</v>
      </c>
      <c r="F48" s="2">
        <v>0.16666666666666666</v>
      </c>
      <c r="G48" s="2">
        <v>1</v>
      </c>
      <c r="H48" s="2">
        <v>0.66666666666666663</v>
      </c>
      <c r="I48" s="2">
        <v>0.66666666666666663</v>
      </c>
      <c r="J48" s="2"/>
      <c r="K48" s="3">
        <v>0.04</v>
      </c>
      <c r="L48" s="3">
        <v>0.13294797687861271</v>
      </c>
      <c r="M48" s="4">
        <f t="shared" si="1"/>
        <v>2.3236994219653173</v>
      </c>
      <c r="N48" t="s">
        <v>41</v>
      </c>
      <c r="O48">
        <v>3.46</v>
      </c>
      <c r="P48">
        <v>3.92</v>
      </c>
      <c r="R48" s="2"/>
      <c r="S48" s="2"/>
      <c r="T48" s="2"/>
    </row>
    <row r="49" spans="1:20" x14ac:dyDescent="0.25">
      <c r="A49" s="1"/>
      <c r="D49" s="2"/>
      <c r="E49" s="2"/>
      <c r="F49" s="2"/>
      <c r="G49" s="2"/>
      <c r="H49" s="2"/>
      <c r="I49" s="2"/>
      <c r="J49" s="2"/>
      <c r="K49" s="3"/>
      <c r="L49" s="3"/>
      <c r="M49" s="4"/>
      <c r="R49" s="2"/>
      <c r="S49" s="2"/>
      <c r="T49" s="2"/>
    </row>
    <row r="50" spans="1:20" x14ac:dyDescent="0.25">
      <c r="A50" s="1" t="s">
        <v>105</v>
      </c>
      <c r="D50" s="1" t="s">
        <v>4</v>
      </c>
      <c r="E50" s="2"/>
      <c r="F50" s="2"/>
      <c r="G50" s="2"/>
      <c r="H50" s="2"/>
      <c r="I50" s="2"/>
      <c r="J50" s="2"/>
      <c r="K50" s="3"/>
      <c r="L50" s="3"/>
      <c r="M50" s="4"/>
      <c r="R50" s="2"/>
      <c r="S50" s="2"/>
      <c r="T50" s="2"/>
    </row>
    <row r="51" spans="1:20" x14ac:dyDescent="0.25">
      <c r="A51" t="s">
        <v>106</v>
      </c>
      <c r="B51" t="s">
        <v>17</v>
      </c>
      <c r="C51" t="s">
        <v>107</v>
      </c>
      <c r="D51" s="2">
        <v>3.666666666666667</v>
      </c>
      <c r="E51" s="2">
        <v>0.66666666666666663</v>
      </c>
      <c r="F51" s="2">
        <v>0.33333333333333331</v>
      </c>
      <c r="G51" s="2">
        <v>0.83333333333333337</v>
      </c>
      <c r="H51" s="2">
        <v>1</v>
      </c>
      <c r="I51" s="2">
        <v>0.83333333333333337</v>
      </c>
      <c r="J51" s="2"/>
      <c r="K51" s="3">
        <v>0.03</v>
      </c>
      <c r="L51" s="3">
        <v>0.19224555735056534</v>
      </c>
      <c r="M51" s="4">
        <f t="shared" si="1"/>
        <v>5.0748519116855109</v>
      </c>
      <c r="N51" t="s">
        <v>108</v>
      </c>
      <c r="O51">
        <v>12.38</v>
      </c>
      <c r="P51">
        <v>14.76</v>
      </c>
      <c r="R51" s="2"/>
      <c r="S51" s="2"/>
      <c r="T51" s="2"/>
    </row>
    <row r="52" spans="1:20" x14ac:dyDescent="0.25">
      <c r="A52" t="s">
        <v>109</v>
      </c>
      <c r="B52" t="s">
        <v>17</v>
      </c>
      <c r="C52" t="s">
        <v>107</v>
      </c>
      <c r="D52" s="2">
        <v>3.5000000000000004</v>
      </c>
      <c r="E52" s="2">
        <v>0.83333333333333337</v>
      </c>
      <c r="F52" s="2">
        <v>0.5</v>
      </c>
      <c r="G52" s="2">
        <v>0.5</v>
      </c>
      <c r="H52" s="2">
        <v>0.83333333333333337</v>
      </c>
      <c r="I52" s="2">
        <v>0.83333333333333337</v>
      </c>
      <c r="J52" s="2"/>
      <c r="K52" s="3">
        <v>0.03</v>
      </c>
      <c r="L52" s="3">
        <v>0.37743732590529261</v>
      </c>
      <c r="M52" s="4">
        <f t="shared" si="1"/>
        <v>11.247910863509755</v>
      </c>
      <c r="N52" t="s">
        <v>110</v>
      </c>
      <c r="O52">
        <v>7.18</v>
      </c>
      <c r="P52">
        <v>9.89</v>
      </c>
      <c r="R52" s="2"/>
      <c r="S52" s="2"/>
      <c r="T52" s="2"/>
    </row>
    <row r="53" spans="1:20" x14ac:dyDescent="0.25">
      <c r="A53" t="s">
        <v>111</v>
      </c>
      <c r="B53" t="s">
        <v>17</v>
      </c>
      <c r="C53" t="s">
        <v>112</v>
      </c>
      <c r="D53" s="2">
        <v>3.5000000000000004</v>
      </c>
      <c r="E53" s="2">
        <v>0.83333333333333337</v>
      </c>
      <c r="F53" s="2">
        <v>0.5</v>
      </c>
      <c r="G53" s="2">
        <v>0.83333333333333337</v>
      </c>
      <c r="H53" s="2">
        <v>0.5</v>
      </c>
      <c r="I53" s="2">
        <v>0.83333333333333337</v>
      </c>
      <c r="J53" s="2"/>
      <c r="K53" s="3">
        <v>0.03</v>
      </c>
      <c r="L53" s="3">
        <v>4.1639127561136746E-2</v>
      </c>
      <c r="M53" s="4">
        <f t="shared" si="1"/>
        <v>5.4637585371224845E-2</v>
      </c>
      <c r="N53" t="s">
        <v>28</v>
      </c>
      <c r="O53">
        <v>15.13</v>
      </c>
      <c r="P53">
        <v>15.76</v>
      </c>
      <c r="R53" s="2"/>
      <c r="S53" s="2"/>
      <c r="T53" s="2"/>
    </row>
    <row r="54" spans="1:20" x14ac:dyDescent="0.25">
      <c r="A54" t="s">
        <v>113</v>
      </c>
      <c r="B54" t="s">
        <v>17</v>
      </c>
      <c r="C54" t="s">
        <v>107</v>
      </c>
      <c r="D54" s="2">
        <v>3.5</v>
      </c>
      <c r="E54" s="2">
        <v>0.5</v>
      </c>
      <c r="F54" s="2">
        <v>0.66666666666666663</v>
      </c>
      <c r="G54" s="2">
        <v>0.83333333333333337</v>
      </c>
      <c r="H54" s="2">
        <v>0.83333333333333337</v>
      </c>
      <c r="I54" s="2">
        <v>0.66666666666666663</v>
      </c>
      <c r="J54" s="2"/>
      <c r="K54" s="3">
        <v>0.03</v>
      </c>
      <c r="L54" s="3">
        <v>0.25060827250608253</v>
      </c>
      <c r="M54" s="4">
        <f t="shared" si="1"/>
        <v>7.0202757502027513</v>
      </c>
      <c r="N54" t="s">
        <v>23</v>
      </c>
      <c r="O54">
        <v>16.440000000000001</v>
      </c>
      <c r="P54">
        <v>20.56</v>
      </c>
      <c r="R54" s="2"/>
      <c r="S54" s="2"/>
      <c r="T54" s="2"/>
    </row>
    <row r="55" spans="1:20" x14ac:dyDescent="0.25">
      <c r="A55" t="s">
        <v>114</v>
      </c>
      <c r="B55" t="s">
        <v>17</v>
      </c>
      <c r="C55" t="s">
        <v>107</v>
      </c>
      <c r="D55" s="2">
        <v>3.5</v>
      </c>
      <c r="E55" s="2">
        <v>0.5</v>
      </c>
      <c r="F55" s="2">
        <v>0.16666666666666666</v>
      </c>
      <c r="G55" s="2">
        <v>1</v>
      </c>
      <c r="H55" s="2">
        <v>0.83333333333333337</v>
      </c>
      <c r="I55" s="2">
        <v>1</v>
      </c>
      <c r="J55" s="2"/>
      <c r="K55" s="3">
        <v>0.04</v>
      </c>
      <c r="L55" s="3">
        <v>0.41666666666666669</v>
      </c>
      <c r="M55" s="4">
        <f t="shared" si="1"/>
        <v>9.4166666666666679</v>
      </c>
      <c r="N55" t="s">
        <v>115</v>
      </c>
      <c r="O55">
        <v>2.04</v>
      </c>
      <c r="P55">
        <v>2.89</v>
      </c>
      <c r="R55" s="2"/>
      <c r="S55" s="2"/>
      <c r="T55" s="2"/>
    </row>
    <row r="56" spans="1:20" x14ac:dyDescent="0.25">
      <c r="A56" t="s">
        <v>116</v>
      </c>
      <c r="B56" t="s">
        <v>17</v>
      </c>
      <c r="C56" t="s">
        <v>112</v>
      </c>
      <c r="D56" s="2">
        <v>3.166666666666667</v>
      </c>
      <c r="E56" s="2">
        <v>0.83333333333333337</v>
      </c>
      <c r="F56" s="2">
        <v>0.16666666666666666</v>
      </c>
      <c r="G56" s="2">
        <v>1</v>
      </c>
      <c r="H56" s="2">
        <v>0.33333333333333331</v>
      </c>
      <c r="I56" s="2">
        <v>0.83333333333333337</v>
      </c>
      <c r="J56" s="2"/>
      <c r="K56" s="3">
        <v>0.04</v>
      </c>
      <c r="L56" s="3">
        <v>4.1884816753926739E-2</v>
      </c>
      <c r="M56" s="4">
        <f t="shared" si="1"/>
        <v>4.7120418848168449E-2</v>
      </c>
      <c r="N56" t="s">
        <v>47</v>
      </c>
      <c r="O56">
        <v>15.28</v>
      </c>
      <c r="P56">
        <v>15.92</v>
      </c>
      <c r="R56" s="2"/>
      <c r="S56" s="2"/>
      <c r="T56" s="2"/>
    </row>
    <row r="57" spans="1:20" x14ac:dyDescent="0.25">
      <c r="A57" t="s">
        <v>117</v>
      </c>
      <c r="B57" t="s">
        <v>17</v>
      </c>
      <c r="C57" t="s">
        <v>118</v>
      </c>
      <c r="D57" s="2">
        <v>3</v>
      </c>
      <c r="E57" s="2">
        <v>0.66666666666666663</v>
      </c>
      <c r="F57" s="2">
        <v>0.16666666666666666</v>
      </c>
      <c r="G57" s="2">
        <v>0.83333333333333337</v>
      </c>
      <c r="H57" s="2">
        <v>0.33333333333333331</v>
      </c>
      <c r="I57" s="2">
        <v>1</v>
      </c>
      <c r="J57" s="2"/>
      <c r="K57" s="3">
        <v>0.04</v>
      </c>
      <c r="L57" s="3">
        <v>0.22358490566037745</v>
      </c>
      <c r="M57" s="4">
        <f t="shared" si="1"/>
        <v>4.5896226415094361</v>
      </c>
      <c r="N57" t="s">
        <v>28</v>
      </c>
      <c r="O57">
        <v>10.6</v>
      </c>
      <c r="P57">
        <v>12.97</v>
      </c>
      <c r="R57" s="2"/>
      <c r="S57" s="2"/>
      <c r="T57" s="2"/>
    </row>
    <row r="58" spans="1:20" x14ac:dyDescent="0.25">
      <c r="A58" t="s">
        <v>119</v>
      </c>
      <c r="B58" t="s">
        <v>17</v>
      </c>
      <c r="C58" t="s">
        <v>120</v>
      </c>
      <c r="D58" s="2">
        <v>3</v>
      </c>
      <c r="E58" s="2">
        <v>0.16666666666666666</v>
      </c>
      <c r="F58" s="2">
        <v>0.5</v>
      </c>
      <c r="G58" s="2">
        <v>1</v>
      </c>
      <c r="H58" s="2">
        <v>0.83333333333333337</v>
      </c>
      <c r="I58" s="2">
        <v>0.5</v>
      </c>
      <c r="J58" s="2"/>
      <c r="K58" s="3">
        <v>0.06</v>
      </c>
      <c r="L58" s="3">
        <v>0.19999999999999996</v>
      </c>
      <c r="M58" s="4">
        <f t="shared" si="1"/>
        <v>2.6666666666666661</v>
      </c>
      <c r="N58" t="s">
        <v>121</v>
      </c>
      <c r="O58">
        <v>1.95</v>
      </c>
      <c r="P58">
        <v>2.34</v>
      </c>
      <c r="R58" s="2"/>
      <c r="S58" s="2"/>
      <c r="T58" s="2"/>
    </row>
    <row r="59" spans="1:20" x14ac:dyDescent="0.25">
      <c r="A59" t="s">
        <v>122</v>
      </c>
      <c r="B59" t="s">
        <v>17</v>
      </c>
      <c r="C59" t="s">
        <v>123</v>
      </c>
      <c r="D59" s="2">
        <v>3</v>
      </c>
      <c r="E59" s="2">
        <v>0.5</v>
      </c>
      <c r="F59" s="2">
        <v>0.33333333333333331</v>
      </c>
      <c r="G59" s="2">
        <v>0.5</v>
      </c>
      <c r="H59" s="2">
        <v>0.83333333333333337</v>
      </c>
      <c r="I59" s="2">
        <v>0.83333333333333337</v>
      </c>
      <c r="J59" s="2"/>
      <c r="K59" s="3">
        <v>0.04</v>
      </c>
      <c r="L59" s="3">
        <v>9.7014925373134248E-2</v>
      </c>
      <c r="M59" s="4">
        <f t="shared" si="1"/>
        <v>1.4253731343283562</v>
      </c>
      <c r="N59" t="s">
        <v>28</v>
      </c>
      <c r="O59">
        <v>1.34</v>
      </c>
      <c r="P59">
        <v>1.47</v>
      </c>
      <c r="R59" s="2"/>
      <c r="S59" s="2"/>
      <c r="T59" s="2"/>
    </row>
    <row r="60" spans="1:20" x14ac:dyDescent="0.25">
      <c r="A60" s="1"/>
      <c r="D60" s="2"/>
      <c r="E60" s="2"/>
      <c r="F60" s="2"/>
      <c r="G60" s="2"/>
      <c r="H60" s="2"/>
      <c r="I60" s="2"/>
      <c r="J60" s="2"/>
      <c r="K60" s="3"/>
      <c r="L60" s="3"/>
      <c r="M60" s="4"/>
      <c r="R60" s="2"/>
      <c r="S60" s="2"/>
      <c r="T60" s="2"/>
    </row>
    <row r="61" spans="1:20" x14ac:dyDescent="0.25">
      <c r="A61" s="1" t="s">
        <v>124</v>
      </c>
      <c r="D61" s="1" t="s">
        <v>4</v>
      </c>
      <c r="E61" s="2"/>
      <c r="F61" s="2"/>
      <c r="G61" s="2"/>
      <c r="H61" s="2"/>
      <c r="I61" s="2"/>
      <c r="J61" s="2"/>
      <c r="K61" s="3"/>
      <c r="L61" s="3"/>
      <c r="M61" s="4"/>
      <c r="R61" s="2"/>
      <c r="S61" s="2"/>
      <c r="T61" s="2"/>
    </row>
    <row r="62" spans="1:20" x14ac:dyDescent="0.25">
      <c r="A62" t="s">
        <v>125</v>
      </c>
      <c r="B62" t="s">
        <v>17</v>
      </c>
      <c r="C62" t="s">
        <v>126</v>
      </c>
      <c r="D62" s="2">
        <v>3.166666666666667</v>
      </c>
      <c r="E62" s="2">
        <v>0.66666666666666663</v>
      </c>
      <c r="F62" s="2">
        <v>0.33333333333333331</v>
      </c>
      <c r="G62" s="2">
        <v>0.5</v>
      </c>
      <c r="H62" s="2">
        <v>0.83333333333333337</v>
      </c>
      <c r="I62" s="2">
        <v>0.83333333333333337</v>
      </c>
      <c r="J62" s="2"/>
      <c r="K62" s="3">
        <v>0.02</v>
      </c>
      <c r="L62" s="3">
        <v>6.8535825545171403E-2</v>
      </c>
      <c r="M62" s="4">
        <f t="shared" ref="M62:M97" si="2">(L62-4%)/K62</f>
        <v>1.42679127725857</v>
      </c>
      <c r="N62" t="s">
        <v>28</v>
      </c>
      <c r="O62">
        <v>3.21</v>
      </c>
      <c r="P62">
        <v>3.43</v>
      </c>
      <c r="R62" s="2"/>
      <c r="S62" s="2"/>
      <c r="T62" s="2"/>
    </row>
    <row r="63" spans="1:20" x14ac:dyDescent="0.25">
      <c r="A63" t="s">
        <v>127</v>
      </c>
      <c r="B63" t="s">
        <v>17</v>
      </c>
      <c r="C63" t="s">
        <v>126</v>
      </c>
      <c r="D63" s="2">
        <v>2.833333333333333</v>
      </c>
      <c r="E63" s="2">
        <v>0.66666666666666663</v>
      </c>
      <c r="F63" s="2">
        <v>0.16666666666666666</v>
      </c>
      <c r="G63" s="2">
        <v>1</v>
      </c>
      <c r="H63" s="2">
        <v>0.33333333333333331</v>
      </c>
      <c r="I63" s="2">
        <v>0.66666666666666663</v>
      </c>
      <c r="J63" s="2"/>
      <c r="K63" s="3">
        <v>0.03</v>
      </c>
      <c r="L63" s="3">
        <v>4.0892193308550137E-2</v>
      </c>
      <c r="M63" s="4">
        <f t="shared" si="2"/>
        <v>2.973977695167121E-2</v>
      </c>
      <c r="N63" t="s">
        <v>128</v>
      </c>
      <c r="O63">
        <v>2.69</v>
      </c>
      <c r="P63">
        <v>2.8</v>
      </c>
      <c r="R63" s="2"/>
      <c r="S63" s="2"/>
      <c r="T63" s="2"/>
    </row>
    <row r="64" spans="1:20" x14ac:dyDescent="0.25">
      <c r="A64" t="s">
        <v>129</v>
      </c>
      <c r="B64" t="s">
        <v>17</v>
      </c>
      <c r="C64" t="s">
        <v>126</v>
      </c>
      <c r="D64" s="2">
        <v>2.833333333333333</v>
      </c>
      <c r="E64" s="2">
        <v>0.66666666666666663</v>
      </c>
      <c r="F64" s="2">
        <v>0.16666666666666666</v>
      </c>
      <c r="G64" s="2">
        <v>0.83333333333333337</v>
      </c>
      <c r="H64" s="2">
        <v>0.33333333333333331</v>
      </c>
      <c r="I64" s="2">
        <v>0.83333333333333337</v>
      </c>
      <c r="J64" s="2"/>
      <c r="K64" s="3">
        <v>0.05</v>
      </c>
      <c r="L64" s="3">
        <v>0.17733089579524691</v>
      </c>
      <c r="M64" s="4">
        <f t="shared" si="2"/>
        <v>2.7466179159049378</v>
      </c>
      <c r="N64" t="s">
        <v>130</v>
      </c>
      <c r="O64">
        <v>10.94</v>
      </c>
      <c r="P64">
        <v>12.88</v>
      </c>
      <c r="R64" s="2"/>
      <c r="S64" s="2"/>
      <c r="T64" s="2"/>
    </row>
    <row r="65" spans="1:20" x14ac:dyDescent="0.25">
      <c r="A65" t="s">
        <v>131</v>
      </c>
      <c r="B65" t="s">
        <v>17</v>
      </c>
      <c r="C65" t="s">
        <v>126</v>
      </c>
      <c r="D65" s="2">
        <v>2.3333333333333335</v>
      </c>
      <c r="E65" s="2">
        <v>0.16666666666666666</v>
      </c>
      <c r="F65" s="2">
        <v>0.5</v>
      </c>
      <c r="G65" s="2">
        <v>0.5</v>
      </c>
      <c r="H65" s="2">
        <v>0.83333333333333337</v>
      </c>
      <c r="I65" s="2">
        <v>0.33333333333333331</v>
      </c>
      <c r="J65" s="2"/>
      <c r="K65" s="3">
        <v>0.05</v>
      </c>
      <c r="L65" s="3">
        <v>2.9268292682926859E-2</v>
      </c>
      <c r="M65" s="4">
        <f t="shared" si="2"/>
        <v>-0.21463414634146283</v>
      </c>
      <c r="N65" t="s">
        <v>128</v>
      </c>
      <c r="O65">
        <v>2.0499999999999998</v>
      </c>
      <c r="P65">
        <v>2.11</v>
      </c>
      <c r="R65" s="2"/>
      <c r="S65" s="2"/>
      <c r="T65" s="2"/>
    </row>
    <row r="66" spans="1:20" x14ac:dyDescent="0.25">
      <c r="A66" t="s">
        <v>132</v>
      </c>
      <c r="B66" t="s">
        <v>17</v>
      </c>
      <c r="C66" t="s">
        <v>133</v>
      </c>
      <c r="D66" s="2">
        <v>2.166666666666667</v>
      </c>
      <c r="E66" s="2">
        <v>0.33333333333333331</v>
      </c>
      <c r="F66" s="2">
        <v>0.66666666666666663</v>
      </c>
      <c r="G66" s="2">
        <v>0.5</v>
      </c>
      <c r="H66" s="2">
        <v>0.16666666666666666</v>
      </c>
      <c r="I66" s="2">
        <v>0.5</v>
      </c>
      <c r="J66" s="2"/>
      <c r="K66" s="3">
        <v>0.03</v>
      </c>
      <c r="L66" s="3">
        <v>0.29097605893186007</v>
      </c>
      <c r="M66" s="4">
        <f t="shared" si="2"/>
        <v>8.3658686310620034</v>
      </c>
      <c r="N66" t="s">
        <v>66</v>
      </c>
      <c r="O66">
        <v>10.86</v>
      </c>
      <c r="P66">
        <v>14.02</v>
      </c>
      <c r="R66" s="2"/>
      <c r="S66" s="2"/>
      <c r="T66" s="2"/>
    </row>
    <row r="67" spans="1:20" x14ac:dyDescent="0.25">
      <c r="A67" t="s">
        <v>134</v>
      </c>
      <c r="B67" t="s">
        <v>17</v>
      </c>
      <c r="C67" t="s">
        <v>126</v>
      </c>
      <c r="D67" s="2">
        <v>1.8333333333333335</v>
      </c>
      <c r="E67" s="2">
        <v>0</v>
      </c>
      <c r="F67" s="2">
        <v>0.5</v>
      </c>
      <c r="G67" s="2">
        <v>0.83333333333333337</v>
      </c>
      <c r="H67" s="2">
        <v>0.16666666666666666</v>
      </c>
      <c r="I67" s="2">
        <v>0.33333333333333331</v>
      </c>
      <c r="J67" s="2"/>
      <c r="K67" s="3">
        <v>0.03</v>
      </c>
      <c r="L67" s="3">
        <v>-0.12255772646536403</v>
      </c>
      <c r="M67" s="4">
        <f t="shared" si="2"/>
        <v>-5.4185908821788011</v>
      </c>
      <c r="N67" t="s">
        <v>41</v>
      </c>
      <c r="O67">
        <v>5.63</v>
      </c>
      <c r="P67">
        <v>4.9400000000000004</v>
      </c>
      <c r="R67" s="2"/>
      <c r="S67" s="2"/>
      <c r="T67" s="2"/>
    </row>
    <row r="68" spans="1:20" x14ac:dyDescent="0.25">
      <c r="A68" t="s">
        <v>135</v>
      </c>
      <c r="B68" t="s">
        <v>17</v>
      </c>
      <c r="C68" t="s">
        <v>126</v>
      </c>
      <c r="D68" s="2">
        <v>1.833333333333333</v>
      </c>
      <c r="E68" s="2">
        <v>0.16666666666666666</v>
      </c>
      <c r="F68" s="2">
        <v>0.5</v>
      </c>
      <c r="G68" s="2">
        <v>0.5</v>
      </c>
      <c r="H68" s="2">
        <v>0</v>
      </c>
      <c r="I68" s="2">
        <v>0.66666666666666663</v>
      </c>
      <c r="J68" s="2"/>
      <c r="K68" s="3">
        <v>0.04</v>
      </c>
      <c r="L68" s="3">
        <v>0.24859550561797758</v>
      </c>
      <c r="M68" s="4">
        <f t="shared" si="2"/>
        <v>5.2148876404494393</v>
      </c>
      <c r="N68" t="s">
        <v>28</v>
      </c>
      <c r="O68">
        <v>7.12</v>
      </c>
      <c r="P68">
        <v>8.89</v>
      </c>
      <c r="R68" s="2"/>
      <c r="S68" s="2"/>
      <c r="T68" s="2"/>
    </row>
    <row r="69" spans="1:20" x14ac:dyDescent="0.25">
      <c r="D69" s="2"/>
      <c r="E69" s="2"/>
      <c r="F69" s="2"/>
      <c r="G69" s="2"/>
      <c r="H69" s="2"/>
      <c r="I69" s="2"/>
      <c r="J69" s="2"/>
      <c r="K69" s="3"/>
      <c r="L69" s="3"/>
      <c r="M69" s="4"/>
      <c r="R69" s="2"/>
      <c r="S69" s="2"/>
      <c r="T69" s="2"/>
    </row>
    <row r="70" spans="1:20" x14ac:dyDescent="0.25">
      <c r="A70" s="1" t="s">
        <v>136</v>
      </c>
      <c r="D70" s="1" t="s">
        <v>4</v>
      </c>
      <c r="E70" s="2"/>
      <c r="F70" s="2"/>
      <c r="G70" s="2"/>
      <c r="H70" s="2"/>
      <c r="I70" s="2"/>
      <c r="J70" s="2"/>
      <c r="K70" s="3"/>
      <c r="L70" s="3"/>
      <c r="M70" s="4"/>
      <c r="R70" s="2"/>
      <c r="S70" s="2"/>
      <c r="T70" s="2"/>
    </row>
    <row r="71" spans="1:20" x14ac:dyDescent="0.25">
      <c r="A71" t="s">
        <v>137</v>
      </c>
      <c r="B71" t="s">
        <v>17</v>
      </c>
      <c r="C71" t="s">
        <v>138</v>
      </c>
      <c r="D71" s="2">
        <v>3.5</v>
      </c>
      <c r="E71" s="2">
        <v>0</v>
      </c>
      <c r="F71" s="2">
        <v>1</v>
      </c>
      <c r="G71" s="2">
        <v>1</v>
      </c>
      <c r="H71" s="2">
        <v>0.66666666666666663</v>
      </c>
      <c r="I71" s="2">
        <v>0.83333333333333337</v>
      </c>
      <c r="J71" s="2"/>
      <c r="K71" s="3">
        <v>0.04</v>
      </c>
      <c r="L71" s="3">
        <v>1.3762626262626263</v>
      </c>
      <c r="M71" s="4">
        <f t="shared" si="2"/>
        <v>33.406565656565654</v>
      </c>
      <c r="N71" t="s">
        <v>139</v>
      </c>
      <c r="O71">
        <v>11.88</v>
      </c>
      <c r="P71">
        <v>28.23</v>
      </c>
      <c r="R71" s="2"/>
      <c r="S71" s="2"/>
      <c r="T71" s="2"/>
    </row>
    <row r="72" spans="1:20" x14ac:dyDescent="0.25">
      <c r="A72" t="s">
        <v>140</v>
      </c>
      <c r="B72" t="s">
        <v>17</v>
      </c>
      <c r="C72" t="s">
        <v>138</v>
      </c>
      <c r="D72" s="2">
        <v>3.333333333333333</v>
      </c>
      <c r="E72" s="2">
        <v>0.66666666666666663</v>
      </c>
      <c r="F72" s="2">
        <v>0.5</v>
      </c>
      <c r="G72" s="2">
        <v>0.66666666666666663</v>
      </c>
      <c r="H72" s="2">
        <v>0.83333333333333337</v>
      </c>
      <c r="I72" s="2">
        <v>0.66666666666666663</v>
      </c>
      <c r="J72" s="2"/>
      <c r="K72" s="3">
        <v>0.02</v>
      </c>
      <c r="L72" s="3">
        <v>0.19512106449501931</v>
      </c>
      <c r="M72" s="4">
        <f t="shared" si="2"/>
        <v>7.756053224750965</v>
      </c>
      <c r="N72" t="s">
        <v>141</v>
      </c>
      <c r="O72">
        <v>275.06</v>
      </c>
      <c r="P72">
        <v>328.73</v>
      </c>
      <c r="R72" s="2"/>
      <c r="S72" s="2"/>
      <c r="T72" s="2"/>
    </row>
    <row r="73" spans="1:20" x14ac:dyDescent="0.25">
      <c r="A73" t="s">
        <v>142</v>
      </c>
      <c r="B73" t="s">
        <v>17</v>
      </c>
      <c r="C73" t="s">
        <v>143</v>
      </c>
      <c r="D73" s="2">
        <v>2.9999999999999996</v>
      </c>
      <c r="E73" s="2">
        <v>0.5</v>
      </c>
      <c r="F73" s="2">
        <v>0.66666666666666663</v>
      </c>
      <c r="G73" s="2">
        <v>0.66666666666666663</v>
      </c>
      <c r="H73" s="2">
        <v>0.66666666666666663</v>
      </c>
      <c r="I73" s="2">
        <v>0.5</v>
      </c>
      <c r="J73" s="2"/>
      <c r="K73" s="3">
        <v>0.02</v>
      </c>
      <c r="L73" s="3">
        <v>-6.1538461538461479E-2</v>
      </c>
      <c r="M73" s="4">
        <f t="shared" si="2"/>
        <v>-5.076923076923074</v>
      </c>
      <c r="N73" t="s">
        <v>144</v>
      </c>
      <c r="O73">
        <v>1.95</v>
      </c>
      <c r="P73">
        <v>1.83</v>
      </c>
      <c r="R73" s="2"/>
      <c r="S73" s="2"/>
      <c r="T73" s="2"/>
    </row>
    <row r="74" spans="1:20" x14ac:dyDescent="0.25">
      <c r="A74" t="s">
        <v>145</v>
      </c>
      <c r="B74" t="s">
        <v>17</v>
      </c>
      <c r="C74" t="s">
        <v>143</v>
      </c>
      <c r="D74" s="2">
        <v>2.6666666666666665</v>
      </c>
      <c r="E74" s="2">
        <v>0.5</v>
      </c>
      <c r="F74" s="2">
        <v>0.33333333333333331</v>
      </c>
      <c r="G74" s="2">
        <v>0.83333333333333337</v>
      </c>
      <c r="H74" s="2">
        <v>0.33333333333333331</v>
      </c>
      <c r="I74" s="2">
        <v>0.66666666666666663</v>
      </c>
      <c r="J74" s="2"/>
      <c r="K74" s="3">
        <v>0.03</v>
      </c>
      <c r="L74" s="3">
        <v>6.4422728917842967E-2</v>
      </c>
      <c r="M74" s="4">
        <f t="shared" si="2"/>
        <v>0.81409096392809888</v>
      </c>
      <c r="N74" t="s">
        <v>146</v>
      </c>
      <c r="O74">
        <v>27.63</v>
      </c>
      <c r="P74">
        <v>29.41</v>
      </c>
      <c r="R74" s="2"/>
      <c r="S74" s="2"/>
      <c r="T74" s="2"/>
    </row>
    <row r="75" spans="1:20" x14ac:dyDescent="0.25">
      <c r="A75" t="s">
        <v>147</v>
      </c>
      <c r="B75" t="s">
        <v>17</v>
      </c>
      <c r="C75" t="s">
        <v>143</v>
      </c>
      <c r="D75" s="2">
        <v>2.5</v>
      </c>
      <c r="E75" s="2">
        <v>0.66666666666666663</v>
      </c>
      <c r="F75" s="2">
        <v>0.16666666666666666</v>
      </c>
      <c r="G75" s="2">
        <v>0.5</v>
      </c>
      <c r="H75" s="2">
        <v>0.5</v>
      </c>
      <c r="I75" s="2">
        <v>0.66666666666666663</v>
      </c>
      <c r="J75" s="2"/>
      <c r="K75" s="3">
        <v>0.03</v>
      </c>
      <c r="L75" s="3">
        <v>5.3252647503782308E-2</v>
      </c>
      <c r="M75" s="4">
        <f t="shared" si="2"/>
        <v>0.44175491679274359</v>
      </c>
      <c r="N75" t="s">
        <v>19</v>
      </c>
      <c r="O75">
        <v>33.049999999999997</v>
      </c>
      <c r="P75">
        <v>34.81</v>
      </c>
      <c r="R75" s="2"/>
      <c r="S75" s="2"/>
      <c r="T75" s="2"/>
    </row>
    <row r="76" spans="1:20" x14ac:dyDescent="0.25">
      <c r="A76" t="s">
        <v>148</v>
      </c>
      <c r="B76" t="s">
        <v>17</v>
      </c>
      <c r="C76" t="s">
        <v>143</v>
      </c>
      <c r="D76" s="2">
        <v>2.3333333333333335</v>
      </c>
      <c r="E76" s="2">
        <v>0.33333333333333331</v>
      </c>
      <c r="F76" s="2">
        <v>0.5</v>
      </c>
      <c r="G76" s="2">
        <v>0.66666666666666663</v>
      </c>
      <c r="H76" s="2">
        <v>0.16666666666666666</v>
      </c>
      <c r="I76" s="2">
        <v>0.66666666666666663</v>
      </c>
      <c r="J76" s="2"/>
      <c r="K76" s="3">
        <v>0.04</v>
      </c>
      <c r="L76" s="3">
        <v>0.1386430678466076</v>
      </c>
      <c r="M76" s="4">
        <f t="shared" si="2"/>
        <v>2.4660766961651897</v>
      </c>
      <c r="N76" t="s">
        <v>149</v>
      </c>
      <c r="O76">
        <v>3.39</v>
      </c>
      <c r="P76">
        <v>3.86</v>
      </c>
      <c r="R76" s="2"/>
      <c r="S76" s="2"/>
      <c r="T76" s="2"/>
    </row>
    <row r="77" spans="1:20" x14ac:dyDescent="0.25">
      <c r="A77" t="s">
        <v>150</v>
      </c>
      <c r="B77" t="s">
        <v>17</v>
      </c>
      <c r="C77" t="s">
        <v>143</v>
      </c>
      <c r="D77" s="2">
        <v>2.3333333333333335</v>
      </c>
      <c r="E77" s="2">
        <v>0.5</v>
      </c>
      <c r="F77" s="2">
        <v>0.16666666666666666</v>
      </c>
      <c r="G77" s="2">
        <v>0.16666666666666666</v>
      </c>
      <c r="H77" s="2">
        <v>0.66666666666666663</v>
      </c>
      <c r="I77" s="2">
        <v>0.83333333333333337</v>
      </c>
      <c r="J77" s="2"/>
      <c r="K77" s="3">
        <v>0.04</v>
      </c>
      <c r="L77" s="3">
        <v>9.0986394557823161E-2</v>
      </c>
      <c r="M77" s="4">
        <f t="shared" si="2"/>
        <v>1.2746598639455791</v>
      </c>
      <c r="N77" t="s">
        <v>47</v>
      </c>
      <c r="O77">
        <v>11.76</v>
      </c>
      <c r="P77">
        <v>12.83</v>
      </c>
      <c r="R77" s="2"/>
      <c r="S77" s="2"/>
      <c r="T77" s="2"/>
    </row>
    <row r="78" spans="1:20" x14ac:dyDescent="0.25">
      <c r="A78" t="s">
        <v>151</v>
      </c>
      <c r="B78" t="s">
        <v>17</v>
      </c>
      <c r="C78" t="s">
        <v>152</v>
      </c>
      <c r="D78" s="2">
        <v>2.3333333333333335</v>
      </c>
      <c r="E78" s="2">
        <v>0.33333333333333331</v>
      </c>
      <c r="F78" s="2">
        <v>0.66666666666666663</v>
      </c>
      <c r="G78" s="2">
        <v>0.83333333333333337</v>
      </c>
      <c r="H78" s="2">
        <v>0</v>
      </c>
      <c r="I78" s="2">
        <v>0.5</v>
      </c>
      <c r="J78" s="2"/>
      <c r="K78" s="3">
        <v>0.02</v>
      </c>
      <c r="L78" s="3">
        <v>-2.2235225277940258E-2</v>
      </c>
      <c r="M78" s="4">
        <f t="shared" si="2"/>
        <v>-3.1117612638970127</v>
      </c>
      <c r="N78" t="s">
        <v>25</v>
      </c>
      <c r="O78">
        <v>34.18</v>
      </c>
      <c r="P78">
        <v>33.42</v>
      </c>
      <c r="R78" s="2"/>
      <c r="S78" s="2"/>
      <c r="T78" s="2"/>
    </row>
    <row r="79" spans="1:20" x14ac:dyDescent="0.25">
      <c r="A79" t="s">
        <v>153</v>
      </c>
      <c r="B79" t="s">
        <v>17</v>
      </c>
      <c r="C79" t="s">
        <v>154</v>
      </c>
      <c r="D79" s="2">
        <v>2.333333333333333</v>
      </c>
      <c r="E79" s="2">
        <v>0</v>
      </c>
      <c r="F79" s="2">
        <v>0.66666666666666663</v>
      </c>
      <c r="G79" s="2">
        <v>1</v>
      </c>
      <c r="H79" s="2">
        <v>0.33333333333333331</v>
      </c>
      <c r="I79" s="2">
        <v>0.33333333333333331</v>
      </c>
      <c r="J79" s="2"/>
      <c r="K79" s="3">
        <v>0.09</v>
      </c>
      <c r="L79" s="3">
        <v>0.36470588235294127</v>
      </c>
      <c r="M79" s="4">
        <f t="shared" si="2"/>
        <v>3.6078431372549034</v>
      </c>
      <c r="N79" t="s">
        <v>155</v>
      </c>
      <c r="O79">
        <v>2.5499999999999998</v>
      </c>
      <c r="P79">
        <v>3.48</v>
      </c>
      <c r="R79" s="2"/>
      <c r="S79" s="2"/>
      <c r="T79" s="2"/>
    </row>
    <row r="80" spans="1:20" x14ac:dyDescent="0.25">
      <c r="D80" s="2"/>
      <c r="E80" s="2"/>
      <c r="F80" s="2"/>
      <c r="G80" s="2"/>
      <c r="H80" s="2"/>
      <c r="I80" s="2"/>
      <c r="J80" s="2"/>
      <c r="K80" s="3"/>
      <c r="L80" s="3"/>
      <c r="M80" s="4"/>
      <c r="R80" s="2"/>
      <c r="S80" s="2"/>
      <c r="T80" s="2"/>
    </row>
    <row r="81" spans="1:20" x14ac:dyDescent="0.25">
      <c r="A81" s="1" t="s">
        <v>156</v>
      </c>
      <c r="D81" s="1" t="s">
        <v>4</v>
      </c>
      <c r="E81" s="2"/>
      <c r="F81" s="2"/>
      <c r="G81" s="2"/>
      <c r="H81" s="2"/>
      <c r="I81" s="2"/>
      <c r="J81" s="2"/>
      <c r="K81" s="3"/>
      <c r="L81" s="3"/>
      <c r="M81" s="4"/>
      <c r="R81" s="2"/>
      <c r="S81" s="2"/>
      <c r="T81" s="2"/>
    </row>
    <row r="82" spans="1:20" x14ac:dyDescent="0.25">
      <c r="A82" t="s">
        <v>157</v>
      </c>
      <c r="B82" t="s">
        <v>17</v>
      </c>
      <c r="C82" t="s">
        <v>158</v>
      </c>
      <c r="D82" s="2">
        <v>3.3333333333333335</v>
      </c>
      <c r="E82" s="2">
        <v>0.83333333333333337</v>
      </c>
      <c r="F82" s="2">
        <v>0.33333333333333331</v>
      </c>
      <c r="G82" s="2">
        <v>0.83333333333333337</v>
      </c>
      <c r="H82" s="2">
        <v>0.83333333333333337</v>
      </c>
      <c r="I82" s="2">
        <v>0.5</v>
      </c>
      <c r="J82" s="2"/>
      <c r="K82" s="3">
        <v>0.05</v>
      </c>
      <c r="L82" s="3">
        <v>0.42857142857142849</v>
      </c>
      <c r="M82" s="4">
        <f t="shared" si="2"/>
        <v>7.7714285714285696</v>
      </c>
      <c r="N82" t="s">
        <v>159</v>
      </c>
      <c r="O82">
        <v>1.1200000000000001</v>
      </c>
      <c r="P82">
        <v>1.6</v>
      </c>
      <c r="R82" s="2"/>
      <c r="S82" s="2"/>
      <c r="T82" s="2"/>
    </row>
    <row r="83" spans="1:20" x14ac:dyDescent="0.25">
      <c r="A83" t="s">
        <v>160</v>
      </c>
      <c r="B83" t="s">
        <v>17</v>
      </c>
      <c r="C83" t="s">
        <v>158</v>
      </c>
      <c r="D83" s="2">
        <v>3.333333333333333</v>
      </c>
      <c r="E83" s="2">
        <v>0.66666666666666663</v>
      </c>
      <c r="F83" s="2">
        <v>0.16666666666666666</v>
      </c>
      <c r="G83" s="2">
        <v>1</v>
      </c>
      <c r="H83" s="2">
        <v>0.83333333333333337</v>
      </c>
      <c r="I83" s="2">
        <v>0.66666666666666663</v>
      </c>
      <c r="J83" s="2"/>
      <c r="K83" s="3">
        <v>0.03</v>
      </c>
      <c r="L83" s="3">
        <v>0.15217391304347841</v>
      </c>
      <c r="M83" s="4">
        <f t="shared" si="2"/>
        <v>3.7391304347826133</v>
      </c>
      <c r="N83" t="s">
        <v>47</v>
      </c>
      <c r="O83">
        <v>5.52</v>
      </c>
      <c r="P83">
        <v>6.36</v>
      </c>
      <c r="R83" s="2"/>
      <c r="S83" s="2"/>
      <c r="T83" s="2"/>
    </row>
    <row r="84" spans="1:20" x14ac:dyDescent="0.25">
      <c r="A84" t="s">
        <v>161</v>
      </c>
      <c r="B84" t="s">
        <v>17</v>
      </c>
      <c r="C84" t="s">
        <v>158</v>
      </c>
      <c r="D84" s="2">
        <v>3.166666666666667</v>
      </c>
      <c r="E84" s="2">
        <v>0.66666666666666663</v>
      </c>
      <c r="F84" s="2">
        <v>0</v>
      </c>
      <c r="G84" s="2">
        <v>0.83333333333333337</v>
      </c>
      <c r="H84" s="2">
        <v>0.83333333333333337</v>
      </c>
      <c r="I84" s="2">
        <v>0.83333333333333337</v>
      </c>
      <c r="J84" s="2"/>
      <c r="K84" s="3">
        <v>0.03</v>
      </c>
      <c r="L84" s="3">
        <v>7.8252032520325157E-2</v>
      </c>
      <c r="M84" s="4">
        <f t="shared" si="2"/>
        <v>1.2750677506775052</v>
      </c>
      <c r="N84" t="s">
        <v>162</v>
      </c>
      <c r="O84">
        <v>19.68</v>
      </c>
      <c r="P84">
        <v>21.22</v>
      </c>
      <c r="R84" s="2"/>
      <c r="S84" s="2"/>
      <c r="T84" s="2"/>
    </row>
    <row r="85" spans="1:20" x14ac:dyDescent="0.25">
      <c r="A85" t="s">
        <v>163</v>
      </c>
      <c r="B85" t="s">
        <v>17</v>
      </c>
      <c r="C85" t="s">
        <v>164</v>
      </c>
      <c r="D85" s="2">
        <v>3.1666666666666665</v>
      </c>
      <c r="E85" s="2">
        <v>0.5</v>
      </c>
      <c r="F85" s="2">
        <v>0.33333333333333331</v>
      </c>
      <c r="G85" s="2">
        <v>0.83333333333333337</v>
      </c>
      <c r="H85" s="2">
        <v>0.66666666666666663</v>
      </c>
      <c r="I85" s="2">
        <v>0.83333333333333337</v>
      </c>
      <c r="J85" s="2"/>
      <c r="K85" s="3">
        <v>0.05</v>
      </c>
      <c r="L85" s="3">
        <v>0.44848484848484865</v>
      </c>
      <c r="M85" s="4">
        <f t="shared" si="2"/>
        <v>8.1696969696969735</v>
      </c>
      <c r="N85" t="s">
        <v>165</v>
      </c>
      <c r="O85">
        <v>1.65</v>
      </c>
      <c r="P85">
        <v>2.39</v>
      </c>
      <c r="R85" s="2"/>
      <c r="S85" s="2"/>
      <c r="T85" s="2"/>
    </row>
    <row r="86" spans="1:20" x14ac:dyDescent="0.25">
      <c r="A86" t="s">
        <v>166</v>
      </c>
      <c r="B86" t="s">
        <v>17</v>
      </c>
      <c r="C86" t="s">
        <v>164</v>
      </c>
      <c r="D86" s="2">
        <v>3</v>
      </c>
      <c r="E86" s="2">
        <v>0.5</v>
      </c>
      <c r="F86" s="2">
        <v>0</v>
      </c>
      <c r="G86" s="2">
        <v>1</v>
      </c>
      <c r="H86" s="2">
        <v>0.66666666666666663</v>
      </c>
      <c r="I86" s="2">
        <v>0.83333333333333337</v>
      </c>
      <c r="J86" s="2"/>
      <c r="K86" s="3">
        <v>0.05</v>
      </c>
      <c r="L86" s="3">
        <v>-7.9787234042553071E-2</v>
      </c>
      <c r="M86" s="4">
        <f t="shared" si="2"/>
        <v>-2.395744680851061</v>
      </c>
      <c r="N86" t="s">
        <v>41</v>
      </c>
      <c r="O86">
        <v>11.28</v>
      </c>
      <c r="P86">
        <v>10.38</v>
      </c>
      <c r="R86" s="2"/>
      <c r="S86" s="2"/>
      <c r="T86" s="2"/>
    </row>
    <row r="87" spans="1:20" x14ac:dyDescent="0.25">
      <c r="A87" t="s">
        <v>167</v>
      </c>
      <c r="B87" t="s">
        <v>17</v>
      </c>
      <c r="C87" t="s">
        <v>164</v>
      </c>
      <c r="D87" s="2">
        <v>2.8333333333333335</v>
      </c>
      <c r="E87" s="2">
        <v>0.5</v>
      </c>
      <c r="F87" s="2">
        <v>0.5</v>
      </c>
      <c r="G87" s="2">
        <v>0.83333333333333337</v>
      </c>
      <c r="H87" s="2">
        <v>0.66666666666666663</v>
      </c>
      <c r="I87" s="2">
        <v>0.33333333333333331</v>
      </c>
      <c r="J87" s="2"/>
      <c r="K87" s="3">
        <v>0.05</v>
      </c>
      <c r="L87" s="3">
        <v>0.28624535315985133</v>
      </c>
      <c r="M87" s="4">
        <f t="shared" si="2"/>
        <v>4.9249070631970264</v>
      </c>
      <c r="N87" t="s">
        <v>168</v>
      </c>
      <c r="O87">
        <v>2.69</v>
      </c>
      <c r="P87">
        <v>3.46</v>
      </c>
      <c r="R87" s="2"/>
      <c r="S87" s="2"/>
      <c r="T87" s="2"/>
    </row>
    <row r="88" spans="1:20" x14ac:dyDescent="0.25">
      <c r="A88" t="s">
        <v>169</v>
      </c>
      <c r="B88" t="s">
        <v>17</v>
      </c>
      <c r="C88" t="s">
        <v>164</v>
      </c>
      <c r="D88" s="2">
        <v>2.833333333333333</v>
      </c>
      <c r="E88" s="2">
        <v>0.5</v>
      </c>
      <c r="F88" s="2">
        <v>0.5</v>
      </c>
      <c r="G88" s="2">
        <v>0.33333333333333331</v>
      </c>
      <c r="H88" s="2">
        <v>0.83333333333333337</v>
      </c>
      <c r="I88" s="2">
        <v>0.66666666666666663</v>
      </c>
      <c r="J88" s="2"/>
      <c r="K88" s="3">
        <v>0.05</v>
      </c>
      <c r="L88" s="3">
        <v>0.36734693877551033</v>
      </c>
      <c r="M88" s="4">
        <f t="shared" si="2"/>
        <v>6.5469387755102071</v>
      </c>
      <c r="N88" t="s">
        <v>170</v>
      </c>
      <c r="O88">
        <v>0.98</v>
      </c>
      <c r="P88">
        <v>1.34</v>
      </c>
      <c r="R88" s="2"/>
      <c r="S88" s="2"/>
      <c r="T88" s="2"/>
    </row>
    <row r="89" spans="1:20" x14ac:dyDescent="0.25">
      <c r="A89" t="s">
        <v>171</v>
      </c>
      <c r="B89" t="s">
        <v>17</v>
      </c>
      <c r="C89" t="s">
        <v>164</v>
      </c>
      <c r="D89" s="2">
        <v>2.6666666666666665</v>
      </c>
      <c r="E89" s="2">
        <v>0</v>
      </c>
      <c r="F89" s="2">
        <v>0.66666666666666663</v>
      </c>
      <c r="G89" s="2">
        <v>1</v>
      </c>
      <c r="H89" s="2">
        <v>1</v>
      </c>
      <c r="I89" s="2">
        <v>0</v>
      </c>
      <c r="J89" s="2"/>
      <c r="K89" s="3">
        <v>0.05</v>
      </c>
      <c r="L89" s="3">
        <v>-6.3646574316735946E-3</v>
      </c>
      <c r="M89" s="4">
        <f t="shared" si="2"/>
        <v>-0.9272931486334719</v>
      </c>
      <c r="N89" t="s">
        <v>19</v>
      </c>
      <c r="O89">
        <v>26.71</v>
      </c>
      <c r="P89">
        <v>26.54</v>
      </c>
      <c r="R89" s="2"/>
      <c r="S89" s="2"/>
      <c r="T89" s="2"/>
    </row>
    <row r="90" spans="1:20" x14ac:dyDescent="0.25">
      <c r="A90" t="s">
        <v>172</v>
      </c>
      <c r="B90" t="s">
        <v>17</v>
      </c>
      <c r="C90" t="s">
        <v>173</v>
      </c>
      <c r="D90" s="2">
        <v>2.6666666666666665</v>
      </c>
      <c r="E90" s="2">
        <v>0.66666666666666663</v>
      </c>
      <c r="F90" s="2">
        <v>0</v>
      </c>
      <c r="G90" s="2">
        <v>0.5</v>
      </c>
      <c r="H90" s="2">
        <v>0.66666666666666663</v>
      </c>
      <c r="I90" s="2">
        <v>0.83333333333333337</v>
      </c>
      <c r="J90" s="2"/>
      <c r="K90" s="3">
        <v>0.03</v>
      </c>
      <c r="L90" s="3">
        <v>-0.11930585683297194</v>
      </c>
      <c r="M90" s="4">
        <f t="shared" si="2"/>
        <v>-5.3101952277657318</v>
      </c>
      <c r="N90" t="s">
        <v>28</v>
      </c>
      <c r="O90">
        <v>4.6100000000000003</v>
      </c>
      <c r="P90">
        <v>4.0599999999999996</v>
      </c>
      <c r="R90" s="2"/>
      <c r="S90" s="2"/>
      <c r="T90" s="2"/>
    </row>
    <row r="91" spans="1:20" x14ac:dyDescent="0.25">
      <c r="A91" t="s">
        <v>174</v>
      </c>
      <c r="B91" t="s">
        <v>17</v>
      </c>
      <c r="C91" t="s">
        <v>158</v>
      </c>
      <c r="D91" s="2">
        <v>2.5000000000000004</v>
      </c>
      <c r="E91" s="2">
        <v>0.33333333333333331</v>
      </c>
      <c r="F91" s="2">
        <v>0.16666666666666666</v>
      </c>
      <c r="G91" s="2">
        <v>0.83333333333333337</v>
      </c>
      <c r="H91" s="2">
        <v>0.83333333333333337</v>
      </c>
      <c r="I91" s="2">
        <v>0.33333333333333331</v>
      </c>
      <c r="J91" s="2"/>
      <c r="K91" s="3">
        <v>0.03</v>
      </c>
      <c r="L91" s="3">
        <v>9.1930541368745299E-3</v>
      </c>
      <c r="M91" s="4">
        <f t="shared" si="2"/>
        <v>-1.0268981954375156</v>
      </c>
      <c r="N91" t="s">
        <v>175</v>
      </c>
      <c r="O91">
        <v>19.579999999999998</v>
      </c>
      <c r="P91">
        <v>19.760000000000002</v>
      </c>
      <c r="R91" s="2"/>
      <c r="S91" s="2"/>
      <c r="T91" s="2"/>
    </row>
    <row r="92" spans="1:20" x14ac:dyDescent="0.25">
      <c r="A92" t="s">
        <v>176</v>
      </c>
      <c r="B92" t="s">
        <v>17</v>
      </c>
      <c r="C92" t="s">
        <v>158</v>
      </c>
      <c r="D92" s="2">
        <v>2.3333333333333335</v>
      </c>
      <c r="E92" s="2">
        <v>0.5</v>
      </c>
      <c r="F92" s="2">
        <v>0.33333333333333331</v>
      </c>
      <c r="G92" s="2">
        <v>0.5</v>
      </c>
      <c r="H92" s="2">
        <v>0.66666666666666663</v>
      </c>
      <c r="I92" s="2">
        <v>0.33333333333333331</v>
      </c>
      <c r="J92" s="2"/>
      <c r="K92" s="3">
        <v>0.03</v>
      </c>
      <c r="L92" s="3">
        <v>0.1568627450980391</v>
      </c>
      <c r="M92" s="4">
        <f t="shared" si="2"/>
        <v>3.8954248366013031</v>
      </c>
      <c r="N92" t="s">
        <v>23</v>
      </c>
      <c r="O92">
        <v>30.6</v>
      </c>
      <c r="P92">
        <v>35.4</v>
      </c>
      <c r="R92" s="2"/>
      <c r="S92" s="2"/>
      <c r="T92" s="2"/>
    </row>
    <row r="93" spans="1:20" x14ac:dyDescent="0.25">
      <c r="A93" t="s">
        <v>177</v>
      </c>
      <c r="B93" t="s">
        <v>17</v>
      </c>
      <c r="C93" t="s">
        <v>164</v>
      </c>
      <c r="D93" s="2">
        <v>2.3333333333333335</v>
      </c>
      <c r="E93" s="2">
        <v>0.33333333333333331</v>
      </c>
      <c r="F93" s="2">
        <v>0.66666666666666663</v>
      </c>
      <c r="G93" s="2">
        <v>0.83333333333333337</v>
      </c>
      <c r="H93" s="2">
        <v>0.5</v>
      </c>
      <c r="I93" s="2">
        <v>0</v>
      </c>
      <c r="J93" s="2"/>
      <c r="K93" s="3">
        <v>0.02</v>
      </c>
      <c r="L93" s="3">
        <v>6.2727272727272743E-2</v>
      </c>
      <c r="M93" s="4">
        <f t="shared" si="2"/>
        <v>1.1363636363636371</v>
      </c>
      <c r="N93" t="s">
        <v>178</v>
      </c>
      <c r="O93">
        <v>33</v>
      </c>
      <c r="P93">
        <v>35.07</v>
      </c>
      <c r="R93" s="2"/>
      <c r="S93" s="2"/>
      <c r="T93" s="2"/>
    </row>
    <row r="94" spans="1:20" x14ac:dyDescent="0.25">
      <c r="A94" t="s">
        <v>179</v>
      </c>
      <c r="B94" t="s">
        <v>17</v>
      </c>
      <c r="C94" t="s">
        <v>164</v>
      </c>
      <c r="D94" s="2">
        <v>2.3333333333333335</v>
      </c>
      <c r="E94" s="2">
        <v>0</v>
      </c>
      <c r="F94" s="2">
        <v>0.83333333333333337</v>
      </c>
      <c r="G94" s="2">
        <v>0.83333333333333337</v>
      </c>
      <c r="H94" s="2">
        <v>0.66666666666666663</v>
      </c>
      <c r="I94" s="2">
        <v>0</v>
      </c>
      <c r="J94" s="2"/>
      <c r="K94" s="3">
        <v>7.0000000000000007E-2</v>
      </c>
      <c r="L94" s="3">
        <v>0.10907127429805613</v>
      </c>
      <c r="M94" s="4">
        <f t="shared" si="2"/>
        <v>0.98673248997223029</v>
      </c>
      <c r="N94" t="s">
        <v>23</v>
      </c>
      <c r="O94">
        <v>9.26</v>
      </c>
      <c r="P94">
        <v>10.27</v>
      </c>
      <c r="R94" s="2"/>
      <c r="S94" s="2"/>
      <c r="T94" s="2"/>
    </row>
    <row r="95" spans="1:20" x14ac:dyDescent="0.25">
      <c r="A95" t="s">
        <v>180</v>
      </c>
      <c r="B95" t="s">
        <v>17</v>
      </c>
      <c r="C95" t="s">
        <v>164</v>
      </c>
      <c r="D95" s="2">
        <v>2.3333333333333335</v>
      </c>
      <c r="E95" s="2">
        <v>0.16666666666666666</v>
      </c>
      <c r="F95" s="2">
        <v>0.66666666666666663</v>
      </c>
      <c r="G95" s="2">
        <v>0.66666666666666663</v>
      </c>
      <c r="H95" s="2">
        <v>0.83333333333333337</v>
      </c>
      <c r="I95" s="2">
        <v>0</v>
      </c>
      <c r="J95" s="2"/>
      <c r="K95" s="3">
        <v>0.05</v>
      </c>
      <c r="L95" s="3">
        <v>3.7990713381173429E-3</v>
      </c>
      <c r="M95" s="4">
        <f t="shared" si="2"/>
        <v>-0.72401857323765317</v>
      </c>
      <c r="N95" t="s">
        <v>25</v>
      </c>
      <c r="O95">
        <v>23.69</v>
      </c>
      <c r="P95">
        <v>23.78</v>
      </c>
      <c r="R95" s="2"/>
      <c r="S95" s="2"/>
      <c r="T95" s="2"/>
    </row>
    <row r="96" spans="1:20" x14ac:dyDescent="0.25">
      <c r="A96" t="s">
        <v>181</v>
      </c>
      <c r="B96" t="s">
        <v>17</v>
      </c>
      <c r="C96" t="s">
        <v>173</v>
      </c>
      <c r="D96" s="2">
        <v>2.3333333333333335</v>
      </c>
      <c r="E96" s="2">
        <v>0.33333333333333331</v>
      </c>
      <c r="F96" s="2">
        <v>0.5</v>
      </c>
      <c r="G96" s="2">
        <v>0.66666666666666663</v>
      </c>
      <c r="H96" s="2">
        <v>0.16666666666666666</v>
      </c>
      <c r="I96" s="2">
        <v>0.66666666666666663</v>
      </c>
      <c r="J96" s="2"/>
      <c r="K96" s="3">
        <v>0.03</v>
      </c>
      <c r="L96" s="3">
        <v>0.24796084828711265</v>
      </c>
      <c r="M96" s="4">
        <f t="shared" si="2"/>
        <v>6.9320282762370882</v>
      </c>
      <c r="N96" t="s">
        <v>23</v>
      </c>
      <c r="O96">
        <v>6.13</v>
      </c>
      <c r="P96">
        <v>7.65</v>
      </c>
      <c r="R96" s="2"/>
      <c r="S96" s="2"/>
      <c r="T96" s="2"/>
    </row>
    <row r="97" spans="1:20" x14ac:dyDescent="0.25">
      <c r="A97" t="s">
        <v>182</v>
      </c>
      <c r="B97" t="s">
        <v>17</v>
      </c>
      <c r="C97" t="s">
        <v>158</v>
      </c>
      <c r="D97" s="2">
        <v>2.333333333333333</v>
      </c>
      <c r="E97" s="2">
        <v>0.66666666666666663</v>
      </c>
      <c r="F97" s="2">
        <v>0.16666666666666666</v>
      </c>
      <c r="G97" s="2">
        <v>0.83333333333333337</v>
      </c>
      <c r="H97" s="2">
        <v>0.5</v>
      </c>
      <c r="I97" s="2">
        <v>0.16666666666666666</v>
      </c>
      <c r="J97" s="2"/>
      <c r="K97" s="3">
        <v>0.03</v>
      </c>
      <c r="L97" s="3">
        <v>0.13197969543147212</v>
      </c>
      <c r="M97" s="4">
        <f t="shared" si="2"/>
        <v>3.0659898477157372</v>
      </c>
      <c r="N97" t="s">
        <v>19</v>
      </c>
      <c r="O97">
        <v>5.91</v>
      </c>
      <c r="P97">
        <v>6.69</v>
      </c>
      <c r="R97" s="2"/>
      <c r="S97" s="2"/>
      <c r="T97" s="2"/>
    </row>
    <row r="98" spans="1:20" x14ac:dyDescent="0.25">
      <c r="L98" s="3"/>
      <c r="M98" s="4"/>
    </row>
    <row r="99" spans="1:20" x14ac:dyDescent="0.25">
      <c r="A99" s="1" t="s">
        <v>183</v>
      </c>
      <c r="D99" s="1" t="s">
        <v>4</v>
      </c>
      <c r="E99" s="2"/>
      <c r="F99" s="2"/>
      <c r="G99" s="2"/>
      <c r="H99" s="2"/>
      <c r="I99" s="2"/>
      <c r="J99" s="2"/>
      <c r="K99" s="3"/>
      <c r="L99" s="3"/>
      <c r="M99" s="4"/>
      <c r="R99" s="2"/>
      <c r="S99" s="2"/>
      <c r="T99" s="2"/>
    </row>
    <row r="100" spans="1:20" x14ac:dyDescent="0.25">
      <c r="A100" t="s">
        <v>184</v>
      </c>
      <c r="B100" t="s">
        <v>17</v>
      </c>
      <c r="C100" t="s">
        <v>185</v>
      </c>
      <c r="D100" s="2">
        <v>3.8333333333333335</v>
      </c>
      <c r="E100" s="2">
        <v>0.33333333333333331</v>
      </c>
      <c r="F100" s="2">
        <v>0.66666666666666663</v>
      </c>
      <c r="G100" s="2">
        <v>1</v>
      </c>
      <c r="H100" s="2">
        <v>1</v>
      </c>
      <c r="I100" s="2">
        <v>0.83333333333333337</v>
      </c>
      <c r="J100" s="2"/>
      <c r="K100" s="3">
        <v>0.05</v>
      </c>
      <c r="L100" s="3">
        <v>0.22713414634146359</v>
      </c>
      <c r="M100" s="4">
        <f t="shared" ref="M100:M118" si="3">(L100-4%)/K100</f>
        <v>3.7426829268292714</v>
      </c>
      <c r="N100" t="s">
        <v>28</v>
      </c>
      <c r="O100">
        <v>6.56</v>
      </c>
      <c r="P100">
        <v>8.0500000000000007</v>
      </c>
      <c r="R100" s="2"/>
      <c r="S100" s="2"/>
      <c r="T100" s="2"/>
    </row>
    <row r="101" spans="1:20" x14ac:dyDescent="0.25">
      <c r="A101" t="s">
        <v>186</v>
      </c>
      <c r="B101" t="s">
        <v>17</v>
      </c>
      <c r="C101" t="s">
        <v>187</v>
      </c>
      <c r="D101" s="2">
        <v>3.666666666666667</v>
      </c>
      <c r="E101" s="2">
        <v>0.5</v>
      </c>
      <c r="F101" s="2">
        <v>0.83333333333333337</v>
      </c>
      <c r="G101" s="2">
        <v>1</v>
      </c>
      <c r="H101" s="2">
        <v>0.5</v>
      </c>
      <c r="I101" s="2">
        <v>0.83333333333333337</v>
      </c>
      <c r="J101" s="2"/>
      <c r="K101" s="3">
        <v>7.0000000000000007E-2</v>
      </c>
      <c r="L101" s="3">
        <v>0.32374100719424476</v>
      </c>
      <c r="M101" s="4">
        <f t="shared" si="3"/>
        <v>4.0534429599177821</v>
      </c>
      <c r="N101" t="s">
        <v>188</v>
      </c>
      <c r="O101">
        <v>1.39</v>
      </c>
      <c r="P101">
        <v>1.84</v>
      </c>
      <c r="R101" s="2"/>
      <c r="S101" s="2"/>
      <c r="T101" s="2"/>
    </row>
    <row r="102" spans="1:20" x14ac:dyDescent="0.25">
      <c r="A102" t="s">
        <v>189</v>
      </c>
      <c r="B102" t="s">
        <v>17</v>
      </c>
      <c r="C102" t="s">
        <v>190</v>
      </c>
      <c r="D102" s="2">
        <v>3.333333333333333</v>
      </c>
      <c r="E102" s="2">
        <v>0.5</v>
      </c>
      <c r="F102" s="2">
        <v>0.66666666666666663</v>
      </c>
      <c r="G102" s="2">
        <v>0.83333333333333337</v>
      </c>
      <c r="H102" s="2">
        <v>0.66666666666666663</v>
      </c>
      <c r="I102" s="2">
        <v>0.66666666666666663</v>
      </c>
      <c r="J102" s="2"/>
      <c r="K102" s="3">
        <v>0.03</v>
      </c>
      <c r="L102" s="3">
        <v>2.2522522522522615E-2</v>
      </c>
      <c r="M102" s="4">
        <f t="shared" si="3"/>
        <v>-0.58258258258257956</v>
      </c>
      <c r="N102" t="s">
        <v>47</v>
      </c>
      <c r="O102">
        <v>15.54</v>
      </c>
      <c r="P102">
        <v>15.89</v>
      </c>
      <c r="R102" s="2"/>
      <c r="S102" s="2"/>
      <c r="T102" s="2"/>
    </row>
    <row r="103" spans="1:20" x14ac:dyDescent="0.25">
      <c r="A103" t="s">
        <v>191</v>
      </c>
      <c r="B103" t="s">
        <v>17</v>
      </c>
      <c r="C103" t="s">
        <v>187</v>
      </c>
      <c r="D103" s="2">
        <v>3.0000000000000004</v>
      </c>
      <c r="E103" s="2">
        <v>0.33333333333333331</v>
      </c>
      <c r="F103" s="2">
        <v>0.66666666666666663</v>
      </c>
      <c r="G103" s="2">
        <v>0.83333333333333337</v>
      </c>
      <c r="H103" s="2">
        <v>0.33333333333333331</v>
      </c>
      <c r="I103" s="2">
        <v>0.83333333333333337</v>
      </c>
      <c r="J103" s="2"/>
      <c r="K103" s="3">
        <v>7.0000000000000007E-2</v>
      </c>
      <c r="L103" s="3">
        <v>0.33695652173913038</v>
      </c>
      <c r="M103" s="4">
        <f t="shared" si="3"/>
        <v>4.2422360248447193</v>
      </c>
      <c r="N103" t="s">
        <v>192</v>
      </c>
      <c r="O103">
        <v>0.92</v>
      </c>
      <c r="P103">
        <v>1.23</v>
      </c>
      <c r="R103" s="2"/>
      <c r="S103" s="2"/>
      <c r="T103" s="2"/>
    </row>
    <row r="104" spans="1:20" x14ac:dyDescent="0.25">
      <c r="A104" t="s">
        <v>193</v>
      </c>
      <c r="B104" t="s">
        <v>17</v>
      </c>
      <c r="C104" t="s">
        <v>190</v>
      </c>
      <c r="D104" s="2">
        <v>2.9999999999999996</v>
      </c>
      <c r="E104" s="2">
        <v>0.5</v>
      </c>
      <c r="F104" s="2">
        <v>0.5</v>
      </c>
      <c r="G104" s="2">
        <v>0.66666666666666663</v>
      </c>
      <c r="H104" s="2">
        <v>0.66666666666666663</v>
      </c>
      <c r="I104" s="2">
        <v>0.66666666666666663</v>
      </c>
      <c r="J104" s="2"/>
      <c r="K104" s="3">
        <v>0.03</v>
      </c>
      <c r="L104" s="3">
        <v>0.2368728121353558</v>
      </c>
      <c r="M104" s="4">
        <f t="shared" si="3"/>
        <v>6.5624270711785266</v>
      </c>
      <c r="N104" t="s">
        <v>41</v>
      </c>
      <c r="O104">
        <v>8.57</v>
      </c>
      <c r="P104">
        <v>10.6</v>
      </c>
      <c r="R104" s="2"/>
      <c r="S104" s="2"/>
      <c r="T104" s="2"/>
    </row>
    <row r="105" spans="1:20" x14ac:dyDescent="0.25">
      <c r="D105" s="2"/>
      <c r="E105" s="2"/>
      <c r="F105" s="2"/>
      <c r="G105" s="2"/>
      <c r="H105" s="2"/>
      <c r="I105" s="2"/>
      <c r="J105" s="2"/>
      <c r="K105" s="3"/>
      <c r="L105" s="3"/>
      <c r="M105" s="4"/>
      <c r="R105" s="2"/>
      <c r="S105" s="2"/>
      <c r="T105" s="2"/>
    </row>
    <row r="106" spans="1:20" x14ac:dyDescent="0.25">
      <c r="A106" s="1" t="s">
        <v>194</v>
      </c>
      <c r="D106" s="1" t="s">
        <v>4</v>
      </c>
      <c r="E106" s="2"/>
      <c r="F106" s="2"/>
      <c r="G106" s="2"/>
      <c r="H106" s="2"/>
      <c r="I106" s="2"/>
      <c r="J106" s="2"/>
      <c r="K106" s="3"/>
      <c r="L106" s="3"/>
      <c r="M106" s="4"/>
      <c r="R106" s="2"/>
      <c r="S106" s="2"/>
      <c r="T106" s="2"/>
    </row>
    <row r="107" spans="1:20" x14ac:dyDescent="0.25">
      <c r="A107" t="s">
        <v>195</v>
      </c>
      <c r="B107" t="s">
        <v>17</v>
      </c>
      <c r="C107" t="s">
        <v>196</v>
      </c>
      <c r="D107" s="2">
        <v>2.833333333333333</v>
      </c>
      <c r="E107" s="2">
        <v>0.66666666666666663</v>
      </c>
      <c r="F107" s="2">
        <v>0</v>
      </c>
      <c r="G107" s="2">
        <v>1</v>
      </c>
      <c r="H107" s="2">
        <v>0.33333333333333331</v>
      </c>
      <c r="I107" s="2">
        <v>0.83333333333333337</v>
      </c>
      <c r="J107" s="2"/>
      <c r="K107" s="3">
        <v>7.0000000000000007E-2</v>
      </c>
      <c r="L107" s="3">
        <v>0.1725490196078433</v>
      </c>
      <c r="M107" s="4">
        <f t="shared" si="3"/>
        <v>1.8935574229691898</v>
      </c>
      <c r="N107" t="s">
        <v>197</v>
      </c>
      <c r="O107">
        <v>2.5499999999999998</v>
      </c>
      <c r="P107">
        <v>2.99</v>
      </c>
      <c r="R107" s="2"/>
      <c r="S107" s="2"/>
      <c r="T107" s="2"/>
    </row>
    <row r="108" spans="1:20" x14ac:dyDescent="0.25">
      <c r="A108" t="s">
        <v>198</v>
      </c>
      <c r="B108" t="s">
        <v>17</v>
      </c>
      <c r="C108" t="s">
        <v>199</v>
      </c>
      <c r="D108" s="2">
        <v>2.6666666666666665</v>
      </c>
      <c r="E108" s="2">
        <v>0.66666666666666663</v>
      </c>
      <c r="F108" s="2">
        <v>0.33333333333333331</v>
      </c>
      <c r="G108" s="2">
        <v>0.66666666666666663</v>
      </c>
      <c r="H108" s="2">
        <v>0.33333333333333331</v>
      </c>
      <c r="I108" s="2">
        <v>0.66666666666666663</v>
      </c>
      <c r="J108" s="2"/>
      <c r="K108" s="3">
        <v>0.03</v>
      </c>
      <c r="L108" s="3">
        <v>0.22676579925650553</v>
      </c>
      <c r="M108" s="4">
        <f t="shared" si="3"/>
        <v>6.2255266418835173</v>
      </c>
      <c r="N108" t="s">
        <v>80</v>
      </c>
      <c r="O108">
        <v>2.69</v>
      </c>
      <c r="P108">
        <v>3.3</v>
      </c>
      <c r="R108" s="2"/>
      <c r="S108" s="2"/>
      <c r="T108" s="2"/>
    </row>
    <row r="109" spans="1:20" x14ac:dyDescent="0.25">
      <c r="A109" t="s">
        <v>200</v>
      </c>
      <c r="B109" t="s">
        <v>17</v>
      </c>
      <c r="C109" t="s">
        <v>201</v>
      </c>
      <c r="D109" s="2">
        <v>2.6666666666666665</v>
      </c>
      <c r="E109" s="2">
        <v>0.33333333333333331</v>
      </c>
      <c r="F109" s="2">
        <v>0.5</v>
      </c>
      <c r="G109" s="2">
        <v>0.66666666666666663</v>
      </c>
      <c r="H109" s="2">
        <v>0.66666666666666663</v>
      </c>
      <c r="I109" s="2">
        <v>0.5</v>
      </c>
      <c r="J109" s="2"/>
      <c r="K109" s="3">
        <v>0.04</v>
      </c>
      <c r="L109" s="3">
        <v>0.13307984790874527</v>
      </c>
      <c r="M109" s="4">
        <f t="shared" si="3"/>
        <v>2.3269961977186315</v>
      </c>
      <c r="N109" t="s">
        <v>41</v>
      </c>
      <c r="O109">
        <v>2.63</v>
      </c>
      <c r="P109">
        <v>2.98</v>
      </c>
      <c r="R109" s="2"/>
      <c r="S109" s="2"/>
      <c r="T109" s="2"/>
    </row>
    <row r="110" spans="1:20" x14ac:dyDescent="0.25">
      <c r="A110" t="s">
        <v>202</v>
      </c>
      <c r="B110" t="s">
        <v>17</v>
      </c>
      <c r="C110" t="s">
        <v>196</v>
      </c>
      <c r="D110" s="2">
        <v>2.5</v>
      </c>
      <c r="E110" s="2">
        <v>0.33333333333333331</v>
      </c>
      <c r="F110" s="2">
        <v>0.5</v>
      </c>
      <c r="G110" s="2">
        <v>0.83333333333333337</v>
      </c>
      <c r="H110" s="2">
        <v>0</v>
      </c>
      <c r="I110" s="2">
        <v>0.83333333333333337</v>
      </c>
      <c r="J110" s="2"/>
      <c r="K110" s="3">
        <v>0.05</v>
      </c>
      <c r="L110" s="3">
        <v>1.0380952380952382</v>
      </c>
      <c r="M110" s="4">
        <f t="shared" si="3"/>
        <v>19.961904761904762</v>
      </c>
      <c r="N110" t="s">
        <v>203</v>
      </c>
      <c r="O110">
        <v>1.05</v>
      </c>
      <c r="P110">
        <v>2.14</v>
      </c>
      <c r="R110" s="2"/>
      <c r="S110" s="2"/>
      <c r="T110" s="2"/>
    </row>
    <row r="111" spans="1:20" x14ac:dyDescent="0.25">
      <c r="A111" t="s">
        <v>204</v>
      </c>
      <c r="B111" t="s">
        <v>17</v>
      </c>
      <c r="C111" t="s">
        <v>196</v>
      </c>
      <c r="D111" s="2">
        <v>2.5</v>
      </c>
      <c r="E111" s="2">
        <v>0.66666666666666663</v>
      </c>
      <c r="F111" s="2">
        <v>0.33333333333333331</v>
      </c>
      <c r="G111" s="2">
        <v>0.66666666666666663</v>
      </c>
      <c r="H111" s="2">
        <v>0.16666666666666666</v>
      </c>
      <c r="I111" s="2">
        <v>0.66666666666666663</v>
      </c>
      <c r="J111" s="2"/>
      <c r="K111" s="3">
        <v>0.04</v>
      </c>
      <c r="L111" s="3">
        <v>0.22480620155038761</v>
      </c>
      <c r="M111" s="4">
        <f t="shared" si="3"/>
        <v>4.6201550387596901</v>
      </c>
      <c r="N111" t="s">
        <v>41</v>
      </c>
      <c r="O111">
        <v>1.29</v>
      </c>
      <c r="P111">
        <v>1.58</v>
      </c>
      <c r="R111" s="2"/>
      <c r="S111" s="2"/>
      <c r="T111" s="2"/>
    </row>
    <row r="112" spans="1:20" x14ac:dyDescent="0.25">
      <c r="A112" t="s">
        <v>205</v>
      </c>
      <c r="B112" t="s">
        <v>17</v>
      </c>
      <c r="C112" t="s">
        <v>199</v>
      </c>
      <c r="D112" s="2">
        <v>2.3333333333333335</v>
      </c>
      <c r="E112" s="2">
        <v>0.33333333333333331</v>
      </c>
      <c r="F112" s="2">
        <v>0.5</v>
      </c>
      <c r="G112" s="2">
        <v>0.66666666666666663</v>
      </c>
      <c r="H112" s="2">
        <v>0.16666666666666666</v>
      </c>
      <c r="I112" s="2">
        <v>0.66666666666666663</v>
      </c>
      <c r="J112" s="2"/>
      <c r="K112" s="3">
        <v>0.03</v>
      </c>
      <c r="L112" s="3">
        <v>0.14699331848552341</v>
      </c>
      <c r="M112" s="4">
        <f t="shared" si="3"/>
        <v>3.5664439495174469</v>
      </c>
      <c r="N112" t="s">
        <v>49</v>
      </c>
      <c r="O112">
        <v>4.49</v>
      </c>
      <c r="P112">
        <v>5.15</v>
      </c>
      <c r="R112" s="2"/>
      <c r="S112" s="2"/>
      <c r="T112" s="2"/>
    </row>
    <row r="113" spans="1:20" x14ac:dyDescent="0.25">
      <c r="D113" s="2"/>
      <c r="E113" s="2"/>
      <c r="F113" s="2"/>
      <c r="G113" s="2"/>
      <c r="H113" s="2"/>
      <c r="I113" s="2"/>
      <c r="J113" s="2"/>
      <c r="K113" s="3"/>
      <c r="L113" s="3"/>
      <c r="M113" s="4"/>
      <c r="R113" s="2"/>
      <c r="S113" s="2"/>
      <c r="T113" s="2"/>
    </row>
    <row r="114" spans="1:20" x14ac:dyDescent="0.25">
      <c r="A114" s="1" t="s">
        <v>206</v>
      </c>
      <c r="D114" s="1" t="s">
        <v>4</v>
      </c>
      <c r="E114" s="2"/>
      <c r="F114" s="2"/>
      <c r="G114" s="2"/>
      <c r="H114" s="2"/>
      <c r="I114" s="2"/>
      <c r="J114" s="2"/>
      <c r="K114" s="3"/>
      <c r="L114" s="3"/>
      <c r="M114" s="4"/>
      <c r="R114" s="2"/>
      <c r="S114" s="2"/>
      <c r="T114" s="2"/>
    </row>
    <row r="115" spans="1:20" x14ac:dyDescent="0.25">
      <c r="A115" t="s">
        <v>207</v>
      </c>
      <c r="B115" t="s">
        <v>17</v>
      </c>
      <c r="C115" t="s">
        <v>208</v>
      </c>
      <c r="D115" s="2">
        <v>2.666666666666667</v>
      </c>
      <c r="E115" s="2">
        <v>0.83333333333333337</v>
      </c>
      <c r="F115" s="2">
        <v>0</v>
      </c>
      <c r="G115" s="2">
        <v>0.16666666666666666</v>
      </c>
      <c r="H115" s="2">
        <v>0.83333333333333337</v>
      </c>
      <c r="I115" s="2">
        <v>0.83333333333333337</v>
      </c>
      <c r="J115" s="2"/>
      <c r="K115" s="3">
        <v>0.03</v>
      </c>
      <c r="L115" s="3">
        <v>0.18705035971223019</v>
      </c>
      <c r="M115" s="4">
        <f t="shared" si="3"/>
        <v>4.9016786570743394</v>
      </c>
      <c r="N115" t="s">
        <v>66</v>
      </c>
      <c r="O115">
        <v>6.95</v>
      </c>
      <c r="P115">
        <v>8.25</v>
      </c>
      <c r="R115" s="2"/>
      <c r="S115" s="2"/>
      <c r="T115" s="2"/>
    </row>
    <row r="116" spans="1:20" x14ac:dyDescent="0.25">
      <c r="A116" t="s">
        <v>209</v>
      </c>
      <c r="B116" t="s">
        <v>17</v>
      </c>
      <c r="C116" t="s">
        <v>210</v>
      </c>
      <c r="D116" s="2">
        <v>2.5</v>
      </c>
      <c r="E116" s="2">
        <v>0.5</v>
      </c>
      <c r="F116" s="2">
        <v>0.16666666666666666</v>
      </c>
      <c r="G116" s="2">
        <v>0.83333333333333337</v>
      </c>
      <c r="H116" s="2">
        <v>0.66666666666666663</v>
      </c>
      <c r="I116" s="2">
        <v>0.33333333333333331</v>
      </c>
      <c r="J116" s="2"/>
      <c r="K116" s="3">
        <v>0.05</v>
      </c>
      <c r="L116" s="3">
        <v>0.13142857142857151</v>
      </c>
      <c r="M116" s="4">
        <f t="shared" si="3"/>
        <v>1.8285714285714298</v>
      </c>
      <c r="N116" t="s">
        <v>81</v>
      </c>
      <c r="O116">
        <v>5.25</v>
      </c>
      <c r="P116">
        <v>5.94</v>
      </c>
      <c r="R116" s="2"/>
      <c r="S116" s="2"/>
      <c r="T116" s="2"/>
    </row>
    <row r="117" spans="1:20" x14ac:dyDescent="0.25">
      <c r="A117" t="s">
        <v>211</v>
      </c>
      <c r="B117" t="s">
        <v>17</v>
      </c>
      <c r="C117" t="s">
        <v>212</v>
      </c>
      <c r="D117" s="2">
        <v>2.5</v>
      </c>
      <c r="E117" s="2">
        <v>0.66666666666666663</v>
      </c>
      <c r="F117" s="2">
        <v>0</v>
      </c>
      <c r="G117" s="2">
        <v>0.66666666666666663</v>
      </c>
      <c r="H117" s="2">
        <v>0.33333333333333331</v>
      </c>
      <c r="I117" s="2">
        <v>0.83333333333333337</v>
      </c>
      <c r="J117" s="2"/>
      <c r="K117" s="3">
        <v>0.03</v>
      </c>
      <c r="L117" s="3">
        <v>2.3890784982935096E-2</v>
      </c>
      <c r="M117" s="4">
        <f t="shared" si="3"/>
        <v>-0.53697383390216347</v>
      </c>
      <c r="N117" t="s">
        <v>49</v>
      </c>
      <c r="O117">
        <v>11.72</v>
      </c>
      <c r="P117">
        <v>12</v>
      </c>
      <c r="R117" s="2"/>
      <c r="S117" s="2"/>
      <c r="T117" s="2"/>
    </row>
    <row r="118" spans="1:20" x14ac:dyDescent="0.25">
      <c r="A118" t="s">
        <v>213</v>
      </c>
      <c r="B118" t="s">
        <v>17</v>
      </c>
      <c r="C118" t="s">
        <v>210</v>
      </c>
      <c r="D118" s="2">
        <v>2.166666666666667</v>
      </c>
      <c r="E118" s="2">
        <v>0</v>
      </c>
      <c r="F118" s="2">
        <v>0.5</v>
      </c>
      <c r="G118" s="2">
        <v>0.83333333333333337</v>
      </c>
      <c r="H118" s="2">
        <v>0.5</v>
      </c>
      <c r="I118" s="2">
        <v>0.33333333333333331</v>
      </c>
      <c r="J118" s="2"/>
      <c r="K118" s="3">
        <v>0.05</v>
      </c>
      <c r="L118" s="3">
        <v>0.18275862068965526</v>
      </c>
      <c r="M118" s="4">
        <f t="shared" si="3"/>
        <v>2.8551724137931047</v>
      </c>
      <c r="N118" t="s">
        <v>214</v>
      </c>
      <c r="O118">
        <v>2.9</v>
      </c>
      <c r="P118">
        <v>3.43</v>
      </c>
      <c r="R118" s="2"/>
      <c r="S118" s="2"/>
      <c r="T118" s="2"/>
    </row>
    <row r="120" spans="1:20" x14ac:dyDescent="0.25">
      <c r="D120" s="2"/>
      <c r="E120" s="2"/>
      <c r="F120" s="2"/>
      <c r="G120" s="2"/>
      <c r="H120" s="2"/>
      <c r="I120" s="2"/>
      <c r="J120" s="2"/>
      <c r="K120" s="3"/>
      <c r="L120" s="3"/>
      <c r="M120" s="3"/>
      <c r="R120" s="2"/>
      <c r="S120" s="2"/>
      <c r="T1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papadimitris</dc:creator>
  <cp:lastModifiedBy>nicholas papadimitris</cp:lastModifiedBy>
  <dcterms:created xsi:type="dcterms:W3CDTF">2015-06-05T18:17:20Z</dcterms:created>
  <dcterms:modified xsi:type="dcterms:W3CDTF">2025-02-22T06:47:33Z</dcterms:modified>
</cp:coreProperties>
</file>